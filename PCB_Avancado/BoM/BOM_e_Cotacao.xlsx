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54fb8b0e2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86f21fa28a214a40"/>
    <x:sheet xmlns:r="http://schemas.openxmlformats.org/officeDocument/2006/relationships" name="BOM_Modulo" sheetId="2" r:id="Rf13dee78f76c46fe"/>
    <x:sheet xmlns:r="http://schemas.openxmlformats.org/officeDocument/2006/relationships" name="BOM_Base" sheetId="3" r:id="Rf7af992569a94160"/>
    <x:sheet xmlns:r="http://schemas.openxmlformats.org/officeDocument/2006/relationships" name="Itens_auxiliares" sheetId="4" r:id="Rf4402143d5614a17"/>
    <x:sheet xmlns:r="http://schemas.openxmlformats.org/officeDocument/2006/relationships" name="Cotacao" sheetId="5" r:id="Rc5809015fefc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&quot;US$ &quot;#,##0.00"/>
  </x:numFmts>
  <x:fonts count="5">
    <x:font>
      <x:sz val="11"/>
      <x:name val="Carlito"/>
    </x:font>
    <x:font>
      <x:sz val="10"/>
      <x:color rgb="FF143D50"/>
      <x:name val="Arial"/>
    </x:font>
    <x:font>
      <x:b/>
      <x:sz val="17"/>
      <x:color rgb="FF143D50"/>
      <x:name val="Arial"/>
    </x:font>
    <x:font>
      <x:b/>
      <x:sz val="10"/>
      <x:color rgb="FFFFFFFF"/>
      <x:name val="Arial"/>
    </x:font>
    <x:font>
      <x:sz val="10"/>
      <x:color rgb="FF5266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3D50"/>
      </x:patternFill>
    </x:fill>
    <x:fill>
      <x:patternFill patternType="solid">
        <x:fgColor rgb="FFE8F2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3" fillId="2" borderId="0" xfId="0" applyNumberFormat="1" applyFont="1" applyFill="1" applyBorder="1"/>
    <x:xf numFmtId="200" fontId="1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201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eae99fc884691" /><Relationship Type="http://schemas.openxmlformats.org/officeDocument/2006/relationships/theme" Target="/xl/theme/theme1.xml" Id="R03fe3c8f3d8b4e17" /><Relationship Type="http://schemas.openxmlformats.org/officeDocument/2006/relationships/sharedStrings" Target="/xl/sharedStrings.xml" Id="Rd9c200fb51e24a19" /><Relationship Type="http://schemas.openxmlformats.org/officeDocument/2006/relationships/worksheet" Target="/xl/worksheets/sheet1.xml" Id="R86f21fa28a214a40" /><Relationship Type="http://schemas.openxmlformats.org/officeDocument/2006/relationships/worksheet" Target="/xl/worksheets/sheet2.xml" Id="Rf13dee78f76c46fe" /><Relationship Type="http://schemas.openxmlformats.org/officeDocument/2006/relationships/worksheet" Target="/xl/worksheets/sheet3.xml" Id="Rf7af992569a94160" /><Relationship Type="http://schemas.openxmlformats.org/officeDocument/2006/relationships/worksheet" Target="/xl/worksheets/sheet4.xml" Id="Rf4402143d5614a17" /><Relationship Type="http://schemas.openxmlformats.org/officeDocument/2006/relationships/worksheet" Target="/xl/worksheets/sheet5.xml" Id="Rc5809015fefc49ab" /></Relationships>
</file>

<file path=xl/tables/table1.xml><?xml version="1.0" encoding="utf-8"?>
<x:table xmlns:x="http://schemas.openxmlformats.org/spreadsheetml/2006/main" id="1" name="TBOMModulo" displayName="TBOMModulo" ref="A5:G71" headerRowCount="1" totalsRowCount="0" totalsRowShown="0">
  <x:tableColumns count="7">
    <x:tableColumn id="1" name="Designators"/>
    <x:tableColumn id="2" name="Qtd. / placa"/>
    <x:tableColumn id="3" name="Valor / comentário"/>
    <x:tableColumn id="4" name="Código do fabricante (MPN)"/>
    <x:tableColumn id="5" name="Fabricante"/>
    <x:tableColumn id="6" name="Footprint"/>
    <x:tableColumn id="7" name="Descri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OMBase" displayName="TBOMBase" ref="A5:G129" headerRowCount="1" totalsRowCount="0" totalsRowShown="0">
  <x:tableColumns count="7">
    <x:tableColumn id="1" name="Designators"/>
    <x:tableColumn id="2" name="Qtd. / placa"/>
    <x:tableColumn id="3" name="Valor / comentário"/>
    <x:tableColumn id="4" name="Código do fabricante (MPN)"/>
    <x:tableColumn id="5" name="Fabricante"/>
    <x:tableColumn id="6" name="Footprint"/>
    <x:tableColumn id="7" name="Descri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tensauxiliares" displayName="TItensauxiliares" ref="A5:H64" headerRowCount="1" totalsRowCount="0" totalsRowShown="0">
  <x:tableColumns count="8">
    <x:tableColumn id="1" name="Placa"/>
    <x:tableColumn id="2" name="Designator"/>
    <x:tableColumn id="3" name="Qtd."/>
    <x:tableColumn id="4" name="Comentário"/>
    <x:tableColumn id="5" name="MPN"/>
    <x:tableColumn id="6" name="Fabricante"/>
    <x:tableColumn id="7" name="Classificação"/>
    <x:tableColumn id="8" name="Footpr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Cotacao" displayName="TCotacao" ref="A5:E8" headerRowCount="1" totalsRowCount="0" totalsRowShown="0">
  <x:tableColumns count="5">
    <x:tableColumn id="1" name="Item"/>
    <x:tableColumn id="2" name="Quantidade"/>
    <x:tableColumn id="3" name="Valor do item (USD)"/>
    <x:tableColumn id="4" name="Prazo exibido"/>
    <x:tableColumn id="5" name="Configur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d0497baf6b42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d43779be5043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361a9ebb0049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7bb35c5e84482a" /></Relationships>
</file>

<file path=xl/worksheets/sheet1.xml><?xml version="1.0" encoding="utf-8"?>
<x:worksheet xmlns:x="http://schemas.openxmlformats.org/spreadsheetml/2006/main">
  <x:sheetPr>
    <x:tabColor rgb="FF047F83"/>
  </x:sheetPr>
  <x:sheetViews>
    <x:sheetView showGridLines="0" workbookViewId="0"/>
  </x:sheetViews>
  <x:sheetFormatPr defaultRowHeight="15"/>
  <x:cols>
    <x:col min="1" max="1" width="33" hidden="0" customWidth="1"/>
    <x:col min="2" max="2" width="104" hidden="0" customWidth="1"/>
  </x:cols>
  <x:sheetData>
    <x:row r="1" ht="34" customHeight="1">
      <x:c r="A1" s="2" t="str">
        <x:v>PCB Avançado — Lista de materiais e cotação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39" customHeight="1">
      <x:c r="A3" s="5" t="str">
        <x:v>Projeto</x:v>
      </x:c>
      <x:c r="B3" s="6" t="str">
        <x:v>iMX6 Rex — módulo e Development Baseboard</x:v>
      </x:c>
      <x:c r="C3" s="1"/>
      <x:c r="D3" s="1"/>
      <x:c r="E3" s="1"/>
      <x:c r="F3" s="1"/>
      <x:c r="G3" s="1"/>
      <x:c r="H3" s="1"/>
      <x:c r="I3" s="1"/>
      <x:c r="J3" s="1"/>
      <x:c r="K3" s="1"/>
    </x:row>
    <x:row r="4" ht="39" customHeight="1">
      <x:c r="A4" s="5" t="str">
        <x:v>Escopo da BOM</x:v>
      </x:c>
      <x:c r="B4" s="6" t="str">
        <x:v>Projeto base, sem aplicação da variante Prototype; quantidades por uma placa.</x:v>
      </x:c>
      <x:c r="C4" s="1"/>
      <x:c r="D4" s="1"/>
      <x:c r="E4" s="1"/>
      <x:c r="F4" s="1"/>
      <x:c r="G4" s="1"/>
      <x:c r="H4" s="1"/>
      <x:c r="I4" s="1"/>
      <x:c r="J4" s="1"/>
      <x:c r="K4" s="1"/>
    </x:row>
    <x:row r="5" ht="39" customHeight="1">
      <x:c r="A5" s="5" t="str">
        <x:v>Módulo</x:v>
      </x:c>
      <x:c r="B5" s="6" t="str">
        <x:v>457 componentes com MPN, agrupados em 66 linhas; 473 objetos no inventário PCB.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39" customHeight="1">
      <x:c r="A6" s="5" t="str">
        <x:v>Placa base</x:v>
      </x:c>
      <x:c r="B6" s="6" t="str">
        <x:v>546 componentes com MPN, agrupados em 124 linhas; 580 objetos no inventário PCB.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39" customHeight="1">
      <x:c r="A7" s="5" t="str">
        <x:v>Fonte</x:v>
      </x:c>
      <x:c r="B7" s="6" t="str">
        <x:v>Esquemáticos e arquivos PCB das etapas L7-02 (módulo) e L7-01 (base).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39" customHeight="1">
      <x:c r="A8" s="5" t="str">
        <x:v>Campos</x:v>
      </x:c>
      <x:c r="B8" s="6" t="str">
        <x:v>MPN, fabricante, valor e descrição: esquemático; footprint: PCB.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39" customHeight="1">
      <x:c r="A9" s="5" t="str">
        <x:v>Variante Prototype</x:v>
      </x:c>
      <x:c r="B9" s="6" t="str">
        <x:v>29 registros de configuração no módulo e 76 na placa base.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39" customHeight="1">
      <x:c r="A10" s="5" t="str">
        <x:v>Itens auxiliares</x:v>
      </x:c>
      <x:c r="B10" s="6" t="str">
        <x:v>Furos, fiduciais, pontos de teste, modelos e itens só do esquemático estão em aba separada.</x:v>
      </x:c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39" customHeight="1">
      <x:c r="A11" s="5" t="str">
        <x:v>Configuração</x:v>
      </x:c>
      <x:c r="B11" s="6" t="str">
        <x:v>BOM da configuração base. A variante Prototype possui registros próprios nos arquivos CSV.</x:v>
      </x:c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39" customHeight="1">
      <x:c r="A12" s="5" t="str">
        <x:v>Cotação</x:v>
      </x:c>
      <x:c r="B12" s="6" t="str">
        <x:v>Orçamento JLCPCB em dólares americanos (USD), com fabricação e montagem da placa base.</x:v>
      </x:c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39" customHeight="1">
      <x:c r="A13" s="5" t="str">
        <x:v>Arquivos de apoio</x:v>
      </x:c>
      <x:c r="B13" s="6" t="str">
        <x:v>BOMs em CSV na pasta BoM e orçamento detalhado na pasta Cotacao.</x:v>
      </x:c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47F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12" hidden="0" customWidth="1"/>
    <x:col min="3" max="3" width="25" hidden="0" customWidth="1"/>
    <x:col min="4" max="4" width="32" hidden="0" customWidth="1"/>
    <x:col min="5" max="5" width="29" hidden="0" customWidth="1"/>
    <x:col min="6" max="6" width="27" hidden="0" customWidth="1"/>
    <x:col min="7" max="7" width="56" hidden="0" customWidth="1"/>
  </x:cols>
  <x:sheetData>
    <x:row r="1" ht="34" customHeight="1">
      <x:c r="A1" s="2" t="str">
        <x:v>BOM | Módulo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7" t="str">
        <x:v>Projeto base • sem aplicar Prototype • quantidades por uma placa</x:v>
      </x:c>
      <x:c r="B2" s="7"/>
      <x:c r="C2" s="7"/>
      <x:c r="D2" s="7"/>
      <x:c r="E2" s="7"/>
      <x:c r="F2" s="7"/>
      <x:c r="G2" s="7"/>
      <x:c r="H2" s="1"/>
      <x:c r="I2" s="1"/>
      <x:c r="J2" s="1"/>
      <x:c r="K2" s="1"/>
    </x:row>
    <x:row r="3">
      <x:c r="A3" s="7" t="str">
        <x:v>Fonte: Modulo_L7-02 / arquivos SchDoc + PcbDoc</x:v>
      </x:c>
      <x:c r="B3" s="7"/>
      <x:c r="C3" s="7"/>
      <x:c r="D3" s="7"/>
      <x:c r="E3" s="7"/>
      <x:c r="F3" s="7"/>
      <x:c r="G3" s="7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0" t="str">
        <x:v>Designators</x:v>
      </x:c>
      <x:c r="B5" s="10" t="str">
        <x:v>Qtd. / placa</x:v>
      </x:c>
      <x:c r="C5" s="10" t="str">
        <x:v>Valor / comentário</x:v>
      </x:c>
      <x:c r="D5" s="10" t="str">
        <x:v>Código do fabricante (MPN)</x:v>
      </x:c>
      <x:c r="E5" s="10" t="str">
        <x:v>Fabricante</x:v>
      </x:c>
      <x:c r="F5" s="10" t="str">
        <x:v>Footprint</x:v>
      </x:c>
      <x:c r="G5" s="10" t="str">
        <x:v>Descrição</x:v>
      </x:c>
      <x:c r="H5" s="1"/>
      <x:c r="I5" s="1"/>
      <x:c r="J5" s="1"/>
      <x:c r="K5" s="1"/>
    </x:row>
    <x:row r="6" ht="30" customHeight="1">
      <x:c r="A6" s="11" t="str">
        <x:v>C1, C206, C207, C225, C226</x:v>
      </x:c>
      <x:c r="B6" s="18" t="n">
        <x:v>5</x:v>
      </x:c>
      <x:c r="C6" s="11" t="str">
        <x:v>1uF</x:v>
      </x:c>
      <x:c r="D6" s="11" t="str">
        <x:v>C1005X5R1C105K</x:v>
      </x:c>
      <x:c r="E6" s="11" t="str">
        <x:v>TDK Corporation</x:v>
      </x:c>
      <x:c r="F6" s="11" t="str">
        <x:v>C0402</x:v>
      </x:c>
      <x:c r="G6" s="11" t="str">
        <x:v>CAP CER 1UF 16V 10% X5R 0402</x:v>
      </x:c>
      <x:c r="H6" s="1"/>
      <x:c r="I6" s="1"/>
      <x:c r="J6" s="1"/>
      <x:c r="K6" s="1"/>
    </x:row>
    <x:row r="7" ht="36" customHeight="1">
      <x:c r="A7" s="8" t="str">
        <x:v>C2, C209, C210, C220, C228, C229, C241</x:v>
      </x:c>
      <x:c r="B7" s="19" t="n">
        <x:v>7</x:v>
      </x:c>
      <x:c r="C7" s="8" t="str">
        <x:v>10uF</x:v>
      </x:c>
      <x:c r="D7" s="8" t="str">
        <x:v>GRM31CR6YA106KA12L</x:v>
      </x:c>
      <x:c r="E7" s="8" t="str">
        <x:v>Murata Electronics North America</x:v>
      </x:c>
      <x:c r="F7" s="8" t="str">
        <x:v>C1206</x:v>
      </x:c>
      <x:c r="G7" s="8" t="str">
        <x:v>CAP CER 10UF 35V 10% X5R 1206</x:v>
      </x:c>
      <x:c r="H7" s="1"/>
      <x:c r="I7" s="1"/>
      <x:c r="J7" s="1"/>
      <x:c r="K7" s="1"/>
    </x:row>
    <x:row r="8" ht="244" customHeight="1">
      <x:c r="A8" s="11" t="str">
        <x:v>C3, C4, C5, C6, C8, C9, C10, C11, C21, C22, C23, C24, C25, C26, C27, C28, C29, C30, C31, C32, C33, C34, C35, C36, C37, C38, C39, C40, C41, C42, C43, C44, C45, C46, C47, C48, C49, C50, C51, C52, C53, C54, C55, C56, C57, C58, C59, C60, C61, C62, C64, C68, C73, C75, C76, C77, C79, C81, C82, C90, C91, C92, C93, C94, C95, C97, C98, C99, C100, C102, C103, C104, C105, C107, C108, C109, C110, C112, C113, C114, C115, C116, C117, C119, C120, C121, C122, C123, C124, C125, C126, C130, C131, C132, C133, C134, C136, C138, C140, C142, C143, C144, C145, C146, C149, C150, C152, C153, C154, C155, C157, C158, C159, C160, C161, C162, C163, C164, C165, C166, C167, C168, C169, C170, C171, C174</x:v>
      </x:c>
      <x:c r="B8" s="18" t="n">
        <x:v>126</x:v>
      </x:c>
      <x:c r="C8" s="11" t="str">
        <x:v>220nF</x:v>
      </x:c>
      <x:c r="D8" s="11" t="str">
        <x:v>C1005X5R1E224M</x:v>
      </x:c>
      <x:c r="E8" s="11" t="str">
        <x:v>TDK Corporation</x:v>
      </x:c>
      <x:c r="F8" s="11" t="str">
        <x:v>C0402</x:v>
      </x:c>
      <x:c r="G8" s="11" t="str">
        <x:v>CAP CER 0.22UF 25V 20% X5R 0402</x:v>
      </x:c>
      <x:c r="H8" s="1"/>
      <x:c r="I8" s="1"/>
      <x:c r="J8" s="1"/>
      <x:c r="K8" s="1"/>
    </x:row>
    <x:row r="9" ht="75" customHeight="1">
      <x:c r="A9" s="8" t="str">
        <x:v>C7, C18, C20, C63, C65, C66, C67, C74, C87, C88, C89, C181, C187, C190, C192, C195, C203, C205, C211, C212, C219, C224, C230, C231, C238, C239, C240, C242</x:v>
      </x:c>
      <x:c r="B9" s="19" t="n">
        <x:v>28</x:v>
      </x:c>
      <x:c r="C9" s="8" t="str">
        <x:v>100nF</x:v>
      </x:c>
      <x:c r="D9" s="8" t="str">
        <x:v>C1005X5R1H104K</x:v>
      </x:c>
      <x:c r="E9" s="8" t="str">
        <x:v>TDK Corporation</x:v>
      </x:c>
      <x:c r="F9" s="8" t="str">
        <x:v>C0402</x:v>
      </x:c>
      <x:c r="G9" s="8" t="str">
        <x:v>CAP CER 0.1UF 50V 10% X5R 0402</x:v>
      </x:c>
      <x:c r="H9" s="1"/>
      <x:c r="I9" s="1"/>
      <x:c r="J9" s="1"/>
      <x:c r="K9" s="1"/>
    </x:row>
    <x:row r="10" ht="49" customHeight="1">
      <x:c r="A10" s="11" t="str">
        <x:v>C12, C13, C14, C15, C16, C17, C96, C101, C106, C111, C118, C127, C128, C129, C135, C151, C172, C173</x:v>
      </x:c>
      <x:c r="B10" s="18" t="n">
        <x:v>18</x:v>
      </x:c>
      <x:c r="C10" s="11" t="str">
        <x:v>22u</x:v>
      </x:c>
      <x:c r="D10" s="11" t="str">
        <x:v>GRM188R60G226MEA0L</x:v>
      </x:c>
      <x:c r="E10" s="11" t="str">
        <x:v>Murata Electronics North America</x:v>
      </x:c>
      <x:c r="F10" s="11" t="str">
        <x:v>C0603</x:v>
      </x:c>
      <x:c r="G10" s="11" t="str">
        <x:v>CAP CER 22UF 4V 20% X5R 0603</x:v>
      </x:c>
      <x:c r="H10" s="1"/>
      <x:c r="I10" s="1"/>
      <x:c r="J10" s="1"/>
      <x:c r="K10" s="1"/>
    </x:row>
    <x:row r="11" ht="36" customHeight="1">
      <x:c r="A11" s="8" t="str">
        <x:v>C19, C80, C177, C178, C180, C186, C191, C194, C199, C204, C221, C222, C223</x:v>
      </x:c>
      <x:c r="B11" s="19" t="n">
        <x:v>13</x:v>
      </x:c>
      <x:c r="C11" s="8" t="str">
        <x:v>10µF</x:v>
      </x:c>
      <x:c r="D11" s="8" t="str">
        <x:v>C1608X5R0J106M</x:v>
      </x:c>
      <x:c r="E11" s="8" t="str">
        <x:v>TDK Corporation</x:v>
      </x:c>
      <x:c r="F11" s="8" t="str">
        <x:v>C0603</x:v>
      </x:c>
      <x:c r="G11" s="8" t="str">
        <x:v>CAP CER 10UF 6.3V 20% X5R 0603</x:v>
      </x:c>
      <x:c r="H11" s="1"/>
      <x:c r="I11" s="1"/>
      <x:c r="J11" s="1"/>
      <x:c r="K11" s="1"/>
    </x:row>
    <x:row r="12" ht="30" customHeight="1">
      <x:c r="A12" s="11" t="str">
        <x:v>C69, C70, C71, C72, C139</x:v>
      </x:c>
      <x:c r="B12" s="18" t="n">
        <x:v>5</x:v>
      </x:c>
      <x:c r="C12" s="11" t="str">
        <x:v>10nF</x:v>
      </x:c>
      <x:c r="D12" s="11" t="str">
        <x:v>C1005X7R1H103K</x:v>
      </x:c>
      <x:c r="E12" s="11" t="str">
        <x:v>TDK Corporation</x:v>
      </x:c>
      <x:c r="F12" s="11" t="str">
        <x:v>C0402</x:v>
      </x:c>
      <x:c r="G12" s="11" t="str">
        <x:v>CAP CER 10000PF 50V 10% X7R 0402</x:v>
      </x:c>
      <x:c r="H12" s="1"/>
      <x:c r="I12" s="1"/>
      <x:c r="J12" s="1"/>
      <x:c r="K12" s="1"/>
    </x:row>
    <x:row r="13" ht="30" customHeight="1">
      <x:c r="A13" s="8" t="str">
        <x:v>C78, C243, C244, C245, C246, C247</x:v>
      </x:c>
      <x:c r="B13" s="19" t="n">
        <x:v>6</x:v>
      </x:c>
      <x:c r="C13" s="8" t="str">
        <x:v>4u7</x:v>
      </x:c>
      <x:c r="D13" s="8" t="str">
        <x:v>C1005X5R1A475M</x:v>
      </x:c>
      <x:c r="E13" s="8" t="str">
        <x:v>TDK Corporation</x:v>
      </x:c>
      <x:c r="F13" s="8" t="str">
        <x:v>C0402</x:v>
      </x:c>
      <x:c r="G13" s="8" t="str">
        <x:v>CAP CER 4.7UF 10V 20% X5R 0402</x:v>
      </x:c>
      <x:c r="H13" s="1"/>
      <x:c r="I13" s="1"/>
      <x:c r="J13" s="1"/>
      <x:c r="K13" s="1"/>
    </x:row>
    <x:row r="14" ht="30" customHeight="1">
      <x:c r="A14" s="11" t="str">
        <x:v>C83, C84, C85, C86</x:v>
      </x:c>
      <x:c r="B14" s="18" t="n">
        <x:v>4</x:v>
      </x:c>
      <x:c r="C14" s="11" t="str">
        <x:v>18pF</x:v>
      </x:c>
      <x:c r="D14" s="11" t="str">
        <x:v>C1005C0G1H180J</x:v>
      </x:c>
      <x:c r="E14" s="11" t="str">
        <x:v>TDK Corporation</x:v>
      </x:c>
      <x:c r="F14" s="11" t="str">
        <x:v>C0402</x:v>
      </x:c>
      <x:c r="G14" s="11" t="str">
        <x:v>CAP CER 18PF 50V 5% NP0 0402</x:v>
      </x:c>
      <x:c r="H14" s="1"/>
      <x:c r="I14" s="1"/>
      <x:c r="J14" s="1"/>
      <x:c r="K14" s="1"/>
    </x:row>
    <x:row r="15" ht="30" customHeight="1">
      <x:c r="A15" s="8" t="str">
        <x:v>C137, C141, C147, C148, C156</x:v>
      </x:c>
      <x:c r="B15" s="19" t="n">
        <x:v>5</x:v>
      </x:c>
      <x:c r="C15" s="8" t="str">
        <x:v>22u</x:v>
      </x:c>
      <x:c r="D15" s="8" t="str">
        <x:v>C2012X5R1C226K</x:v>
      </x:c>
      <x:c r="E15" s="8" t="str">
        <x:v>TDK Corporation</x:v>
      </x:c>
      <x:c r="F15" s="8" t="str">
        <x:v>C0805</x:v>
      </x:c>
      <x:c r="G15" s="8" t="str">
        <x:v>CAP CER 22UF 16V 10% X5R 0805</x:v>
      </x:c>
      <x:c r="H15" s="1"/>
      <x:c r="I15" s="1"/>
      <x:c r="J15" s="1"/>
      <x:c r="K15" s="1"/>
    </x:row>
    <x:row r="16" ht="30" customHeight="1">
      <x:c r="A16" s="11" t="str">
        <x:v>C175, C176</x:v>
      </x:c>
      <x:c r="B16" s="18" t="n">
        <x:v>2</x:v>
      </x:c>
      <x:c r="C16" s="11" t="str">
        <x:v>22pF</x:v>
      </x:c>
      <x:c r="D16" s="11" t="str">
        <x:v>C1005C0G1H220J</x:v>
      </x:c>
      <x:c r="E16" s="11" t="str">
        <x:v>TDK Corporation</x:v>
      </x:c>
      <x:c r="F16" s="11" t="str">
        <x:v>C0402</x:v>
      </x:c>
      <x:c r="G16" s="11" t="str">
        <x:v>CAP CER 22PF 50V 5% NP0 0402</x:v>
      </x:c>
      <x:c r="H16" s="1"/>
      <x:c r="I16" s="1"/>
      <x:c r="J16" s="1"/>
      <x:c r="K16" s="1"/>
    </x:row>
    <x:row r="17" ht="36" customHeight="1">
      <x:c r="A17" s="8" t="str">
        <x:v>C179</x:v>
      </x:c>
      <x:c r="B17" s="19" t="n">
        <x:v>1</x:v>
      </x:c>
      <x:c r="C17" s="8" t="str">
        <x:v>560pF</x:v>
      </x:c>
      <x:c r="D17" s="8" t="str">
        <x:v>GRM1555C1H561JA01D</x:v>
      </x:c>
      <x:c r="E17" s="8" t="str">
        <x:v>Murata Electronics North America</x:v>
      </x:c>
      <x:c r="F17" s="8" t="str">
        <x:v>C0402</x:v>
      </x:c>
      <x:c r="G17" s="8" t="str">
        <x:v>CAP CER 560PF 50V 5% NP0 0402</x:v>
      </x:c>
      <x:c r="H17" s="1"/>
      <x:c r="I17" s="1"/>
      <x:c r="J17" s="1"/>
      <x:c r="K17" s="1"/>
    </x:row>
    <x:row r="18" ht="49" customHeight="1">
      <x:c r="A18" s="11" t="str">
        <x:v>C182, C183, C184, C185, C188, C189, C193, C196, C197, C198, C200, C201, C202, C218, C237, C248, C249</x:v>
      </x:c>
      <x:c r="B18" s="18" t="n">
        <x:v>17</x:v>
      </x:c>
      <x:c r="C18" s="11" t="str">
        <x:v>10nF</x:v>
      </x:c>
      <x:c r="D18" s="11" t="str">
        <x:v>C1005X7R1C103K</x:v>
      </x:c>
      <x:c r="E18" s="11" t="str">
        <x:v>TDK Corporation</x:v>
      </x:c>
      <x:c r="F18" s="11" t="str">
        <x:v>C0402</x:v>
      </x:c>
      <x:c r="G18" s="11" t="str">
        <x:v>CAP CER 10000PF 16V 10% X7R 0402</x:v>
      </x:c>
      <x:c r="H18" s="1"/>
      <x:c r="I18" s="1"/>
      <x:c r="J18" s="1"/>
      <x:c r="K18" s="1"/>
    </x:row>
    <x:row r="19" ht="36" customHeight="1">
      <x:c r="A19" s="8" t="str">
        <x:v>C208, C227</x:v>
      </x:c>
      <x:c r="B19" s="19" t="n">
        <x:v>2</x:v>
      </x:c>
      <x:c r="C19" s="8" t="str">
        <x:v>1uF</x:v>
      </x:c>
      <x:c r="D19" s="8" t="str">
        <x:v>GRM21BR71H105KA12L</x:v>
      </x:c>
      <x:c r="E19" s="8" t="str">
        <x:v>Murata Electronics North America</x:v>
      </x:c>
      <x:c r="F19" s="8" t="str">
        <x:v>C0805</x:v>
      </x:c>
      <x:c r="G19" s="8" t="str">
        <x:v>CAP CER 1UF 50V 10% X7R 0805</x:v>
      </x:c>
      <x:c r="H19" s="1"/>
      <x:c r="I19" s="1"/>
      <x:c r="J19" s="1"/>
      <x:c r="K19" s="1"/>
    </x:row>
    <x:row r="20" ht="36" customHeight="1">
      <x:c r="A20" s="11" t="str">
        <x:v>C213, C214, C215, C216, C217, C232, C233, C234, C235, C236</x:v>
      </x:c>
      <x:c r="B20" s="18" t="n">
        <x:v>10</x:v>
      </x:c>
      <x:c r="C20" s="11" t="str">
        <x:v>100µF</x:v>
      </x:c>
      <x:c r="D20" s="11" t="str">
        <x:v>C3216X5R1A107M</x:v>
      </x:c>
      <x:c r="E20" s="11" t="str">
        <x:v>TDK Corporation</x:v>
      </x:c>
      <x:c r="F20" s="11" t="str">
        <x:v>C1206</x:v>
      </x:c>
      <x:c r="G20" s="11" t="str">
        <x:v>CAP CER 100UF 10V 20% X5R 1206</x:v>
      </x:c>
      <x:c r="H20" s="1"/>
      <x:c r="I20" s="1"/>
      <x:c r="J20" s="1"/>
      <x:c r="K20" s="1"/>
    </x:row>
    <x:row r="21" ht="30" customHeight="1">
      <x:c r="A21" s="8" t="str">
        <x:v>D1</x:v>
      </x:c>
      <x:c r="B21" s="19" t="n">
        <x:v>1</x:v>
      </x:c>
      <x:c r="C21" s="8" t="str">
        <x:v>RB751V-40-TP</x:v>
      </x:c>
      <x:c r="D21" s="8" t="str">
        <x:v>RB751V-40-TP</x:v>
      </x:c>
      <x:c r="E21" s="8" t="str">
        <x:v>Micro Commercial Co</x:v>
      </x:c>
      <x:c r="F21" s="8" t="str">
        <x:v>SOD323</x:v>
      </x:c>
      <x:c r="G21" s="8" t="str">
        <x:v>DIODE SCHTKY 30MA 30V SOD-323</x:v>
      </x:c>
      <x:c r="H21" s="1"/>
      <x:c r="I21" s="1"/>
      <x:c r="J21" s="1"/>
      <x:c r="K21" s="1"/>
    </x:row>
    <x:row r="22" ht="36" customHeight="1">
      <x:c r="A22" s="11" t="str">
        <x:v>D2</x:v>
      </x:c>
      <x:c r="B22" s="18" t="n">
        <x:v>1</x:v>
      </x:c>
      <x:c r="C22" s="11" t="str">
        <x:v>Green</x:v>
      </x:c>
      <x:c r="D22" s="11" t="str">
        <x:v>LG L29K-G2J1-24-Z</x:v>
      </x:c>
      <x:c r="E22" s="11" t="str">
        <x:v>OSRAM Opto Semiconductors Inc</x:v>
      </x:c>
      <x:c r="F22" s="11" t="str">
        <x:v>LED_0603</x:v>
      </x:c>
      <x:c r="G22" s="11" t="str">
        <x:v>LED SMARTLED GREEN 570NM 0603</x:v>
      </x:c>
      <x:c r="H22" s="1"/>
      <x:c r="I22" s="1"/>
      <x:c r="J22" s="1"/>
      <x:c r="K22" s="1"/>
    </x:row>
    <x:row r="23" ht="36" customHeight="1">
      <x:c r="A23" s="8" t="str">
        <x:v>D3</x:v>
      </x:c>
      <x:c r="B23" s="19" t="n">
        <x:v>1</x:v>
      </x:c>
      <x:c r="C23" s="8" t="str">
        <x:v>Orange</x:v>
      </x:c>
      <x:c r="D23" s="8" t="str">
        <x:v>LO L29K-H2K1-24-Z</x:v>
      </x:c>
      <x:c r="E23" s="8" t="str">
        <x:v>OSRAM Opto Semiconductors Inc</x:v>
      </x:c>
      <x:c r="F23" s="8" t="str">
        <x:v>LED_0603</x:v>
      </x:c>
      <x:c r="G23" s="8" t="str">
        <x:v>LED SMARTLED ORANGE 606NM 0603</x:v>
      </x:c>
      <x:c r="H23" s="1"/>
      <x:c r="I23" s="1"/>
      <x:c r="J23" s="1"/>
      <x:c r="K23" s="1"/>
    </x:row>
    <x:row r="24" ht="36" customHeight="1">
      <x:c r="A24" s="11" t="str">
        <x:v>FB1, FB2, FB8</x:v>
      </x:c>
      <x:c r="B24" s="18" t="n">
        <x:v>3</x:v>
      </x:c>
      <x:c r="C24" s="11" t="str">
        <x:v>220R, 2.5A</x:v>
      </x:c>
      <x:c r="D24" s="11" t="str">
        <x:v>BLM18SG221TN1D</x:v>
      </x:c>
      <x:c r="E24" s="11" t="str">
        <x:v>Murata Electronics North America</x:v>
      </x:c>
      <x:c r="F24" s="11" t="str">
        <x:v>C0603</x:v>
      </x:c>
      <x:c r="G24" s="11" t="str">
        <x:v>FERRITE CHIP 220 OHM 2500MA 0603</x:v>
      </x:c>
      <x:c r="H24" s="1"/>
      <x:c r="I24" s="1"/>
      <x:c r="J24" s="1"/>
      <x:c r="K24" s="1"/>
    </x:row>
    <x:row r="25" ht="36" customHeight="1">
      <x:c r="A25" s="8" t="str">
        <x:v>FB3, FB4, FB6, FB7</x:v>
      </x:c>
      <x:c r="B25" s="19" t="n">
        <x:v>4</x:v>
      </x:c>
      <x:c r="C25" s="8" t="str">
        <x:v>BLM18KG101TN1D</x:v>
      </x:c>
      <x:c r="D25" s="8" t="str">
        <x:v>BLM18KG101TN1D</x:v>
      </x:c>
      <x:c r="E25" s="8" t="str">
        <x:v>Murata Electronics North America</x:v>
      </x:c>
      <x:c r="F25" s="8" t="str">
        <x:v>C0603</x:v>
      </x:c>
      <x:c r="G25" s="8" t="str">
        <x:v>FERRITE CHIP 100 OHM BEAD 0603</x:v>
      </x:c>
      <x:c r="H25" s="1"/>
      <x:c r="I25" s="1"/>
      <x:c r="J25" s="1"/>
      <x:c r="K25" s="1"/>
    </x:row>
    <x:row r="26" ht="36" customHeight="1">
      <x:c r="A26" s="11" t="str">
        <x:v>FB5</x:v>
      </x:c>
      <x:c r="B26" s="18" t="n">
        <x:v>1</x:v>
      </x:c>
      <x:c r="C26" s="11" t="str">
        <x:v>BLM15AX601SN1D</x:v>
      </x:c>
      <x:c r="D26" s="11" t="str">
        <x:v>BLM15AX601SN1D</x:v>
      </x:c>
      <x:c r="E26" s="11" t="str">
        <x:v>Murata Electronics North America</x:v>
      </x:c>
      <x:c r="F26" s="11" t="str">
        <x:v>C0402</x:v>
      </x:c>
      <x:c r="G26" s="11" t="str">
        <x:v>FERRITE CHIP 600 OHM 0402</x:v>
      </x:c>
      <x:c r="H26" s="1"/>
      <x:c r="I26" s="1"/>
      <x:c r="J26" s="1"/>
      <x:c r="K26" s="1"/>
    </x:row>
    <x:row r="27" ht="30" customHeight="1">
      <x:c r="A27" s="8" t="str">
        <x:v>J1, J2</x:v>
      </x:c>
      <x:c r="B27" s="19" t="n">
        <x:v>2</x:v>
      </x:c>
      <x:c r="C27" s="8" t="str">
        <x:v>QSH-030-01-L-D-A</x:v>
      </x:c>
      <x:c r="D27" s="8" t="str">
        <x:v>QSH-030-01-L-D-A</x:v>
      </x:c>
      <x:c r="E27" s="8" t="str">
        <x:v>Samtec Inc</x:v>
      </x:c>
      <x:c r="F27" s="8" t="str">
        <x:v>QSH-030-01-L-D-A</x:v>
      </x:c>
      <x:c r="G27" s="8" t="str">
        <x:v>CONN RCPT HI-SPD .5MM 60POS DL</x:v>
      </x:c>
      <x:c r="H27" s="1"/>
      <x:c r="I27" s="1"/>
      <x:c r="J27" s="1"/>
      <x:c r="K27" s="1"/>
    </x:row>
    <x:row r="28" ht="30" customHeight="1">
      <x:c r="A28" s="11" t="str">
        <x:v>L1</x:v>
      </x:c>
      <x:c r="B28" s="18" t="n">
        <x:v>1</x:v>
      </x:c>
      <x:c r="C28" s="11" t="str">
        <x:v>4µ7</x:v>
      </x:c>
      <x:c r="D28" s="11" t="str">
        <x:v>IHLP2525CZER4R7M01</x:v>
      </x:c>
      <x:c r="E28" s="11" t="str">
        <x:v>Vishay/Dale</x:v>
      </x:c>
      <x:c r="F28" s="11" t="str">
        <x:v>IHLP_255MILX270MIL</x:v>
      </x:c>
      <x:c r="G28" s="11" t="str">
        <x:v>INDUCTOR POWER 4.7UH 5.5A SMD</x:v>
      </x:c>
      <x:c r="H28" s="1"/>
      <x:c r="I28" s="1"/>
      <x:c r="J28" s="1"/>
      <x:c r="K28" s="1"/>
    </x:row>
    <x:row r="29" ht="30" customHeight="1">
      <x:c r="A29" s="8" t="str">
        <x:v>L2, L4, L5</x:v>
      </x:c>
      <x:c r="B29" s="19" t="n">
        <x:v>3</x:v>
      </x:c>
      <x:c r="C29" s="8" t="str">
        <x:v>3u3</x:v>
      </x:c>
      <x:c r="D29" s="8" t="str">
        <x:v>IHLP2525CZER3R3M01</x:v>
      </x:c>
      <x:c r="E29" s="8" t="str">
        <x:v>Vishay Dale</x:v>
      </x:c>
      <x:c r="F29" s="8" t="str">
        <x:v>IHLP_255MILX270MIL</x:v>
      </x:c>
      <x:c r="G29" s="8" t="str">
        <x:v>INDUCTOR POWER 3.3UH 6A SMD</x:v>
      </x:c>
      <x:c r="H29" s="1"/>
      <x:c r="I29" s="1"/>
      <x:c r="J29" s="1"/>
      <x:c r="K29" s="1"/>
    </x:row>
    <x:row r="30" ht="30" customHeight="1">
      <x:c r="A30" s="11" t="str">
        <x:v>L3</x:v>
      </x:c>
      <x:c r="B30" s="18" t="n">
        <x:v>1</x:v>
      </x:c>
      <x:c r="C30" s="11" t="str">
        <x:v>VLCF4020T-100MR85</x:v>
      </x:c>
      <x:c r="D30" s="11" t="str">
        <x:v>VLCF4020T-100MR85</x:v>
      </x:c>
      <x:c r="E30" s="11" t="str">
        <x:v>TDK Corporation</x:v>
      </x:c>
      <x:c r="F30" s="11" t="str">
        <x:v>VLCF4020</x:v>
      </x:c>
      <x:c r="G30" s="11" t="str">
        <x:v>INDUCTOR POWER 10UH .85A SMD</x:v>
      </x:c>
      <x:c r="H30" s="1"/>
      <x:c r="I30" s="1"/>
      <x:c r="J30" s="1"/>
      <x:c r="K30" s="1"/>
    </x:row>
    <x:row r="31" ht="30" customHeight="1">
      <x:c r="A31" s="8" t="str">
        <x:v>Q1, Q2, Q5, Q8, Q9</x:v>
      </x:c>
      <x:c r="B31" s="19" t="n">
        <x:v>5</x:v>
      </x:c>
      <x:c r="C31" s="8" t="str">
        <x:v>2N7002BKW,115</x:v>
      </x:c>
      <x:c r="D31" s="8" t="str">
        <x:v>2N7002BKW,115</x:v>
      </x:c>
      <x:c r="E31" s="8" t="str">
        <x:v>NXP Semiconductors</x:v>
      </x:c>
      <x:c r="F31" s="8" t="str">
        <x:v>SC70_SOT323</x:v>
      </x:c>
      <x:c r="G31" s="8" t="str">
        <x:v>MOSFET N-CH 60V 310MA SOT323</x:v>
      </x:c>
      <x:c r="H31" s="1"/>
      <x:c r="I31" s="1"/>
      <x:c r="J31" s="1"/>
      <x:c r="K31" s="1"/>
    </x:row>
    <x:row r="32" ht="30" customHeight="1">
      <x:c r="A32" s="11" t="str">
        <x:v>Q3, Q4, Q6, Q7</x:v>
      </x:c>
      <x:c r="B32" s="18" t="n">
        <x:v>4</x:v>
      </x:c>
      <x:c r="C32" s="11" t="str">
        <x:v>SI4816BDY-T1-GE3</x:v>
      </x:c>
      <x:c r="D32" s="11" t="str">
        <x:v>SI4816BDY-T1-GE3</x:v>
      </x:c>
      <x:c r="E32" s="11" t="str">
        <x:v>Vishay/Siliconix</x:v>
      </x:c>
      <x:c r="F32" s="11" t="str">
        <x:v>8_SOIC_3.9MM</x:v>
      </x:c>
      <x:c r="G32" s="11" t="str">
        <x:v>MOSFET DL N-CH 30V 6.8A 8-SOIC</x:v>
      </x:c>
      <x:c r="H32" s="1"/>
      <x:c r="I32" s="1"/>
      <x:c r="J32" s="1"/>
      <x:c r="K32" s="1"/>
    </x:row>
    <x:row r="33" ht="49" customHeight="1">
      <x:c r="A33" s="8" t="str">
        <x:v>R1, R35, R36, R50, R52, R66, R72, R83, R85, R86, R90, R92, R112, R159, R160, R161</x:v>
      </x:c>
      <x:c r="B33" s="19" t="n">
        <x:v>16</x:v>
      </x:c>
      <x:c r="C33" s="8" t="str">
        <x:v>22R</x:v>
      </x:c>
      <x:c r="D33" s="8" t="str">
        <x:v>RC0402FR-0722RL</x:v>
      </x:c>
      <x:c r="E33" s="8" t="str">
        <x:v>Yageo</x:v>
      </x:c>
      <x:c r="F33" s="8" t="str">
        <x:v>R0402</x:v>
      </x:c>
      <x:c r="G33" s="8" t="str">
        <x:v>RES 22.0 OHM 1/16W 1% 0402 SMD</x:v>
      </x:c>
      <x:c r="H33" s="1"/>
      <x:c r="I33" s="1"/>
      <x:c r="J33" s="1"/>
      <x:c r="K33" s="1"/>
    </x:row>
    <x:row r="34" ht="30" customHeight="1">
      <x:c r="A34" s="11" t="str">
        <x:v>R2, R3, R15</x:v>
      </x:c>
      <x:c r="B34" s="18" t="n">
        <x:v>3</x:v>
      </x:c>
      <x:c r="C34" s="11" t="str">
        <x:v>200R</x:v>
      </x:c>
      <x:c r="D34" s="11" t="str">
        <x:v>CRCW0402200RFKED</x:v>
      </x:c>
      <x:c r="E34" s="11" t="str">
        <x:v>Vishay Dale</x:v>
      </x:c>
      <x:c r="F34" s="11" t="str">
        <x:v>R0402</x:v>
      </x:c>
      <x:c r="G34" s="11" t="str">
        <x:v>RES 200 OHM 1/16W 1% 0402 SMD</x:v>
      </x:c>
      <x:c r="H34" s="1"/>
      <x:c r="I34" s="1"/>
      <x:c r="J34" s="1"/>
      <x:c r="K34" s="1"/>
    </x:row>
    <x:row r="35" ht="36" customHeight="1">
      <x:c r="A35" s="8" t="str">
        <x:v>R4, R5, R8, R9, R10, R11, R12</x:v>
      </x:c>
      <x:c r="B35" s="19" t="n">
        <x:v>7</x:v>
      </x:c>
      <x:c r="C35" s="8" t="str">
        <x:v>240R</x:v>
      </x:c>
      <x:c r="D35" s="8" t="str">
        <x:v>RMCF0402FT240R</x:v>
      </x:c>
      <x:c r="E35" s="8" t="str">
        <x:v>Stackpole Electronics Inc</x:v>
      </x:c>
      <x:c r="F35" s="8" t="str">
        <x:v>R0402</x:v>
      </x:c>
      <x:c r="G35" s="8" t="str">
        <x:v>RES TF 240 OHM 1% 0.0625W 0402</x:v>
      </x:c>
      <x:c r="H35" s="1"/>
      <x:c r="I35" s="1"/>
      <x:c r="J35" s="1"/>
      <x:c r="K35" s="1"/>
    </x:row>
    <x:row r="36" ht="101" customHeight="1">
      <x:c r="A36" s="11" t="str">
        <x:v>R6, R7, R33, R38, R39, R40, R41, R42, R43, R48, R49, R57, R58, R60, R62, R63, R64, R67, R68, R69, R75, R91, R94, R95, R96, R97, R98, R100, R103, R104, R109, R110, R115, R127, R129, R130, R131, R132, R133, R136, R151, R153, R154, R155, R158, R165</x:v>
      </x:c>
      <x:c r="B36" s="18" t="n">
        <x:v>46</x:v>
      </x:c>
      <x:c r="C36" s="11" t="str">
        <x:v>10k</x:v>
      </x:c>
      <x:c r="D36" s="11" t="str">
        <x:v>RC0402FR-0710KL</x:v>
      </x:c>
      <x:c r="E36" s="11" t="str">
        <x:v>Yageo</x:v>
      </x:c>
      <x:c r="F36" s="11" t="str">
        <x:v>R0402</x:v>
      </x:c>
      <x:c r="G36" s="11" t="str">
        <x:v>RES 10.0K OHM 1/16W 1% 0402 SMD</x:v>
      </x:c>
      <x:c r="H36" s="1"/>
      <x:c r="I36" s="1"/>
      <x:c r="J36" s="1"/>
      <x:c r="K36" s="1"/>
    </x:row>
    <x:row r="37" ht="75" customHeight="1">
      <x:c r="A37" s="8" t="str">
        <x:v>R13, R14, R18, R19, R23, R24, R25, R26, R27, R34, R51, R65, R70, R71, R74, R76, R78, R80, R88, R93, R105, R106, R107, R108, R116, R117, R128, R140, R141, R152, R156, R157, R163, R164</x:v>
      </x:c>
      <x:c r="B37" s="19" t="n">
        <x:v>34</x:v>
      </x:c>
      <x:c r="C37" s="8" t="str">
        <x:v>0R</x:v>
      </x:c>
      <x:c r="D37" s="8" t="str">
        <x:v>RC0402JR-070RL</x:v>
      </x:c>
      <x:c r="E37" s="8" t="str">
        <x:v>Yageo</x:v>
      </x:c>
      <x:c r="F37" s="8" t="str">
        <x:v>R0402</x:v>
      </x:c>
      <x:c r="G37" s="8" t="str">
        <x:v>RES 0.0 OHM 1/16W 0402 SMD</x:v>
      </x:c>
      <x:c r="H37" s="1"/>
      <x:c r="I37" s="1"/>
      <x:c r="J37" s="1"/>
      <x:c r="K37" s="1"/>
    </x:row>
    <x:row r="38" ht="30" customHeight="1">
      <x:c r="A38" s="11" t="str">
        <x:v>R16, R17</x:v>
      </x:c>
      <x:c r="B38" s="18" t="n">
        <x:v>2</x:v>
      </x:c>
      <x:c r="C38" s="11" t="str">
        <x:v>49.9R</x:v>
      </x:c>
      <x:c r="D38" s="11" t="str">
        <x:v>RC0402FR-0749R9L</x:v>
      </x:c>
      <x:c r="E38" s="11" t="str">
        <x:v>Yageo</x:v>
      </x:c>
      <x:c r="F38" s="11" t="str">
        <x:v>R0402</x:v>
      </x:c>
      <x:c r="G38" s="11" t="str">
        <x:v>RES 49.9 OHM 1/16W 1% 0402 SMD</x:v>
      </x:c>
      <x:c r="H38" s="1"/>
      <x:c r="I38" s="1"/>
      <x:c r="J38" s="1"/>
      <x:c r="K38" s="1"/>
    </x:row>
    <x:row r="39" ht="30" customHeight="1">
      <x:c r="A39" s="8" t="str">
        <x:v>R20</x:v>
      </x:c>
      <x:c r="B39" s="19" t="n">
        <x:v>1</x:v>
      </x:c>
      <x:c r="C39" s="8" t="str">
        <x:v>191R</x:v>
      </x:c>
      <x:c r="D39" s="8" t="str">
        <x:v>CRCW0402191RFKED</x:v>
      </x:c>
      <x:c r="E39" s="8" t="str">
        <x:v>Vishay Dale</x:v>
      </x:c>
      <x:c r="F39" s="8" t="str">
        <x:v>R0402</x:v>
      </x:c>
      <x:c r="G39" s="8" t="str">
        <x:v>RES 191 OHM 1/16W 1% 0402 SMD</x:v>
      </x:c>
      <x:c r="H39" s="1"/>
      <x:c r="I39" s="1"/>
      <x:c r="J39" s="1"/>
      <x:c r="K39" s="1"/>
    </x:row>
    <x:row r="40" ht="30" customHeight="1">
      <x:c r="A40" s="11" t="str">
        <x:v>R21, R22</x:v>
      </x:c>
      <x:c r="B40" s="18" t="n">
        <x:v>2</x:v>
      </x:c>
      <x:c r="C40" s="11" t="str">
        <x:v>47k</x:v>
      </x:c>
      <x:c r="D40" s="11" t="str">
        <x:v>RC0402FR-0747KL</x:v>
      </x:c>
      <x:c r="E40" s="11" t="str">
        <x:v>Yageo</x:v>
      </x:c>
      <x:c r="F40" s="11" t="str">
        <x:v>R0402</x:v>
      </x:c>
      <x:c r="G40" s="11" t="str">
        <x:v>RES 47.0K OHM 1/16W 1% 0402 SMD</x:v>
      </x:c>
      <x:c r="H40" s="1"/>
      <x:c r="I40" s="1"/>
      <x:c r="J40" s="1"/>
      <x:c r="K40" s="1"/>
    </x:row>
    <x:row r="41" ht="36" customHeight="1">
      <x:c r="A41" s="8" t="str">
        <x:v>R28, R29, R31, R32, R44, R45, R46, R47, R55, R56, R59, R84, R87, R89, R120</x:v>
      </x:c>
      <x:c r="B41" s="19" t="n">
        <x:v>15</x:v>
      </x:c>
      <x:c r="C41" s="8" t="str">
        <x:v>4k99</x:v>
      </x:c>
      <x:c r="D41" s="8" t="str">
        <x:v>RMCF0402FT4K99</x:v>
      </x:c>
      <x:c r="E41" s="8" t="str">
        <x:v>Stackpole Electronics Inc</x:v>
      </x:c>
      <x:c r="F41" s="8" t="str">
        <x:v>R0402</x:v>
      </x:c>
      <x:c r="G41" s="8" t="str">
        <x:v>RES TF 4.99K OHM 1% 1/16W 0402</x:v>
      </x:c>
      <x:c r="H41" s="1"/>
      <x:c r="I41" s="1"/>
      <x:c r="J41" s="1"/>
      <x:c r="K41" s="1"/>
    </x:row>
    <x:row r="42" ht="36" customHeight="1">
      <x:c r="A42" s="11" t="str">
        <x:v>R30</x:v>
      </x:c>
      <x:c r="B42" s="18" t="n">
        <x:v>1</x:v>
      </x:c>
      <x:c r="C42" s="11" t="str">
        <x:v>1k6</x:v>
      </x:c>
      <x:c r="D42" s="11" t="str">
        <x:v>ERJ-2RKF1601X</x:v>
      </x:c>
      <x:c r="E42" s="11" t="str">
        <x:v>Panasonic Electronic Components</x:v>
      </x:c>
      <x:c r="F42" s="11" t="str">
        <x:v>R0402</x:v>
      </x:c>
      <x:c r="G42" s="11" t="str">
        <x:v>RES 1.6K OHM 1/10W 1% 0402 SMD</x:v>
      </x:c>
      <x:c r="H42" s="1"/>
      <x:c r="I42" s="1"/>
      <x:c r="J42" s="1"/>
      <x:c r="K42" s="1"/>
    </x:row>
    <x:row r="43" ht="30" customHeight="1">
      <x:c r="A43" s="8" t="str">
        <x:v>R37</x:v>
      </x:c>
      <x:c r="B43" s="19" t="n">
        <x:v>1</x:v>
      </x:c>
      <x:c r="C43" s="8" t="str">
        <x:v>2M2</x:v>
      </x:c>
      <x:c r="D43" s="8" t="str">
        <x:v>CRCW04022M20FKED</x:v>
      </x:c>
      <x:c r="E43" s="8" t="str">
        <x:v>Vishay Dale</x:v>
      </x:c>
      <x:c r="F43" s="8" t="str">
        <x:v>R0402</x:v>
      </x:c>
      <x:c r="G43" s="8" t="str">
        <x:v>RES 2.20M OHM 1/16W 1% 0402 SMD</x:v>
      </x:c>
      <x:c r="H43" s="1"/>
      <x:c r="I43" s="1"/>
      <x:c r="J43" s="1"/>
      <x:c r="K43" s="1"/>
    </x:row>
    <x:row r="44" ht="30" customHeight="1">
      <x:c r="A44" s="11" t="str">
        <x:v>R53, R54</x:v>
      </x:c>
      <x:c r="B44" s="18" t="n">
        <x:v>2</x:v>
      </x:c>
      <x:c r="C44" s="11" t="str">
        <x:v>10M</x:v>
      </x:c>
      <x:c r="D44" s="11" t="str">
        <x:v>CRCW040210M0FKED</x:v>
      </x:c>
      <x:c r="E44" s="11" t="str">
        <x:v>Vishay Dale</x:v>
      </x:c>
      <x:c r="F44" s="11" t="str">
        <x:v>R0402</x:v>
      </x:c>
      <x:c r="G44" s="11" t="str">
        <x:v>RES 10.0M OHM 1/16W 1% 0402 SMD</x:v>
      </x:c>
      <x:c r="H44" s="1"/>
      <x:c r="I44" s="1"/>
      <x:c r="J44" s="1"/>
      <x:c r="K44" s="1"/>
    </x:row>
    <x:row r="45" ht="30" customHeight="1">
      <x:c r="A45" s="8" t="str">
        <x:v>R61, R99, R101, R102, R162</x:v>
      </x:c>
      <x:c r="B45" s="19" t="n">
        <x:v>5</x:v>
      </x:c>
      <x:c r="C45" s="8" t="str">
        <x:v>1k</x:v>
      </x:c>
      <x:c r="D45" s="8" t="str">
        <x:v>RC0402FR-071KL</x:v>
      </x:c>
      <x:c r="E45" s="8" t="str">
        <x:v>Yageo</x:v>
      </x:c>
      <x:c r="F45" s="8" t="str">
        <x:v>R0402</x:v>
      </x:c>
      <x:c r="G45" s="8" t="str">
        <x:v>RES 1.00K OHM 1/16W 1% 0402 SMD</x:v>
      </x:c>
      <x:c r="H45" s="1"/>
      <x:c r="I45" s="1"/>
      <x:c r="J45" s="1"/>
      <x:c r="K45" s="1"/>
    </x:row>
    <x:row r="46" ht="36" customHeight="1">
      <x:c r="A46" s="11" t="str">
        <x:v>R73, R111, R137, R143, R144</x:v>
      </x:c>
      <x:c r="B46" s="18" t="n">
        <x:v>5</x:v>
      </x:c>
      <x:c r="C46" s="11" t="str">
        <x:v>100k</x:v>
      </x:c>
      <x:c r="D46" s="11" t="str">
        <x:v>RMCF0402FT100K</x:v>
      </x:c>
      <x:c r="E46" s="11" t="str">
        <x:v>Stackpole Electronics Inc</x:v>
      </x:c>
      <x:c r="F46" s="11" t="str">
        <x:v>R0402</x:v>
      </x:c>
      <x:c r="G46" s="11" t="str">
        <x:v>RES 100K OHM 1/16W 1% 0402 SMD</x:v>
      </x:c>
      <x:c r="H46" s="1"/>
      <x:c r="I46" s="1"/>
      <x:c r="J46" s="1"/>
      <x:c r="K46" s="1"/>
    </x:row>
    <x:row r="47" ht="30" customHeight="1">
      <x:c r="A47" s="8" t="str">
        <x:v>R77</x:v>
      </x:c>
      <x:c r="B47" s="19" t="n">
        <x:v>1</x:v>
      </x:c>
      <x:c r="C47" s="8" t="str">
        <x:v>2R2</x:v>
      </x:c>
      <x:c r="D47" s="8" t="str">
        <x:v>CRCW04022R20FKED</x:v>
      </x:c>
      <x:c r="E47" s="8" t="str">
        <x:v>Vishay Dale</x:v>
      </x:c>
      <x:c r="F47" s="8" t="str">
        <x:v>R0402</x:v>
      </x:c>
      <x:c r="G47" s="8" t="str">
        <x:v>RES 2.20 OHM 1/16W 1% 0402 SMD</x:v>
      </x:c>
      <x:c r="H47" s="1"/>
      <x:c r="I47" s="1"/>
      <x:c r="J47" s="1"/>
      <x:c r="K47" s="1"/>
    </x:row>
    <x:row r="48" ht="30" customHeight="1">
      <x:c r="A48" s="11" t="str">
        <x:v>R79, R118, R142</x:v>
      </x:c>
      <x:c r="B48" s="18" t="n">
        <x:v>3</x:v>
      </x:c>
      <x:c r="C48" s="11" t="str">
        <x:v>10R</x:v>
      </x:c>
      <x:c r="D48" s="11" t="str">
        <x:v>RC0402FR-0710RL</x:v>
      </x:c>
      <x:c r="E48" s="11" t="str">
        <x:v>Yageo</x:v>
      </x:c>
      <x:c r="F48" s="11" t="str">
        <x:v>R0402</x:v>
      </x:c>
      <x:c r="G48" s="11" t="str">
        <x:v>RES 10.0 OHM 1/16W 1% 0402 SMD</x:v>
      </x:c>
      <x:c r="H48" s="1"/>
      <x:c r="I48" s="1"/>
      <x:c r="J48" s="1"/>
      <x:c r="K48" s="1"/>
    </x:row>
    <x:row r="49" ht="30" customHeight="1">
      <x:c r="A49" s="8" t="str">
        <x:v>R81, R82, R113, R114</x:v>
      </x:c>
      <x:c r="B49" s="19" t="n">
        <x:v>4</x:v>
      </x:c>
      <x:c r="C49" s="8" t="str">
        <x:v>220R</x:v>
      </x:c>
      <x:c r="D49" s="8" t="str">
        <x:v>RC0402FR-07220RL</x:v>
      </x:c>
      <x:c r="E49" s="8" t="str">
        <x:v>Yageo</x:v>
      </x:c>
      <x:c r="F49" s="8" t="str">
        <x:v>R0402</x:v>
      </x:c>
      <x:c r="G49" s="8" t="str">
        <x:v>RES 220 OHM 1/16W 1% 0402 SMD</x:v>
      </x:c>
      <x:c r="H49" s="1"/>
      <x:c r="I49" s="1"/>
      <x:c r="J49" s="1"/>
      <x:c r="K49" s="1"/>
    </x:row>
    <x:row r="50" ht="30" customHeight="1">
      <x:c r="A50" s="11" t="str">
        <x:v>R119</x:v>
      </x:c>
      <x:c r="B50" s="18" t="n">
        <x:v>1</x:v>
      </x:c>
      <x:c r="C50" s="11" t="str">
        <x:v>14K</x:v>
      </x:c>
      <x:c r="D50" s="11" t="str">
        <x:v>RC0402FR-0714KL</x:v>
      </x:c>
      <x:c r="E50" s="11" t="str">
        <x:v>Yageo</x:v>
      </x:c>
      <x:c r="F50" s="11" t="str">
        <x:v>R0402</x:v>
      </x:c>
      <x:c r="G50" s="11" t="str">
        <x:v>RES 14.0K OHM 1/16W 1% 0402 SMD</x:v>
      </x:c>
      <x:c r="H50" s="1"/>
      <x:c r="I50" s="1"/>
      <x:c r="J50" s="1"/>
      <x:c r="K50" s="1"/>
    </x:row>
    <x:row r="51" ht="30" customHeight="1">
      <x:c r="A51" s="8" t="str">
        <x:v>R121, R122, R145, R146</x:v>
      </x:c>
      <x:c r="B51" s="19" t="n">
        <x:v>4</x:v>
      </x:c>
      <x:c r="C51" s="8" t="str">
        <x:v>1R</x:v>
      </x:c>
      <x:c r="D51" s="8" t="str">
        <x:v>RC0402FR-071RL</x:v>
      </x:c>
      <x:c r="E51" s="8" t="str">
        <x:v>Yageo</x:v>
      </x:c>
      <x:c r="F51" s="8" t="str">
        <x:v>R0402</x:v>
      </x:c>
      <x:c r="G51" s="8" t="str">
        <x:v>RES 1.00 OHM 1/16W 1% 0402 SMD</x:v>
      </x:c>
      <x:c r="H51" s="1"/>
      <x:c r="I51" s="1"/>
      <x:c r="J51" s="1"/>
      <x:c r="K51" s="1"/>
    </x:row>
    <x:row r="52" ht="30" customHeight="1">
      <x:c r="A52" s="11" t="str">
        <x:v>R123</x:v>
      </x:c>
      <x:c r="B52" s="18" t="n">
        <x:v>1</x:v>
      </x:c>
      <x:c r="C52" s="11" t="str">
        <x:v>39k</x:v>
      </x:c>
      <x:c r="D52" s="11" t="str">
        <x:v>RC0402FR-0739KL</x:v>
      </x:c>
      <x:c r="E52" s="11" t="str">
        <x:v>Yageo</x:v>
      </x:c>
      <x:c r="F52" s="11" t="str">
        <x:v>R0402</x:v>
      </x:c>
      <x:c r="G52" s="11" t="str">
        <x:v>RES 39.0K OHM 1/16W 1% 0402 SMD</x:v>
      </x:c>
      <x:c r="H52" s="1"/>
      <x:c r="I52" s="1"/>
      <x:c r="J52" s="1"/>
      <x:c r="K52" s="1"/>
    </x:row>
    <x:row r="53" ht="30" customHeight="1">
      <x:c r="A53" s="8" t="str">
        <x:v>R124, R125, R148, R149</x:v>
      </x:c>
      <x:c r="B53" s="19" t="n">
        <x:v>4</x:v>
      </x:c>
      <x:c r="C53" s="8" t="str">
        <x:v>200k</x:v>
      </x:c>
      <x:c r="D53" s="8" t="str">
        <x:v>RC0402FR-07200KL</x:v>
      </x:c>
      <x:c r="E53" s="8" t="str">
        <x:v>Yageo</x:v>
      </x:c>
      <x:c r="F53" s="8" t="str">
        <x:v>R0402</x:v>
      </x:c>
      <x:c r="G53" s="8" t="str">
        <x:v>RES 200K OHM 1/16W 1% 0402 SMD</x:v>
      </x:c>
      <x:c r="H53" s="1"/>
      <x:c r="I53" s="1"/>
      <x:c r="J53" s="1"/>
      <x:c r="K53" s="1"/>
    </x:row>
    <x:row r="54" ht="30" customHeight="1">
      <x:c r="A54" s="11" t="str">
        <x:v>R126, R150</x:v>
      </x:c>
      <x:c r="B54" s="18" t="n">
        <x:v>2</x:v>
      </x:c>
      <x:c r="C54" s="11" t="str">
        <x:v>10k5</x:v>
      </x:c>
      <x:c r="D54" s="11" t="str">
        <x:v>CRCW040210K5FKED</x:v>
      </x:c>
      <x:c r="E54" s="11" t="str">
        <x:v>Vishay/Dale</x:v>
      </x:c>
      <x:c r="F54" s="11" t="str">
        <x:v>R0402</x:v>
      </x:c>
      <x:c r="G54" s="11" t="str">
        <x:v>RES 10.5K OHM 1/16W 1% 0402 SMD</x:v>
      </x:c>
      <x:c r="H54" s="1"/>
      <x:c r="I54" s="1"/>
      <x:c r="J54" s="1"/>
      <x:c r="K54" s="1"/>
    </x:row>
    <x:row r="55" ht="30" customHeight="1">
      <x:c r="A55" s="8" t="str">
        <x:v>R134</x:v>
      </x:c>
      <x:c r="B55" s="19" t="n">
        <x:v>1</x:v>
      </x:c>
      <x:c r="C55" s="8" t="str">
        <x:v>12k</x:v>
      </x:c>
      <x:c r="D55" s="8" t="str">
        <x:v>RC0402FR-0712KL</x:v>
      </x:c>
      <x:c r="E55" s="8" t="str">
        <x:v>Yageo</x:v>
      </x:c>
      <x:c r="F55" s="8" t="str">
        <x:v>R0402</x:v>
      </x:c>
      <x:c r="G55" s="8" t="str">
        <x:v>RES 12.0K OHM 1/16W 1% 0402 SMD</x:v>
      </x:c>
      <x:c r="H55" s="1"/>
      <x:c r="I55" s="1"/>
      <x:c r="J55" s="1"/>
      <x:c r="K55" s="1"/>
    </x:row>
    <x:row r="56" ht="30" customHeight="1">
      <x:c r="A56" s="11" t="str">
        <x:v>R135</x:v>
      </x:c>
      <x:c r="B56" s="18" t="n">
        <x:v>1</x:v>
      </x:c>
      <x:c r="C56" s="11" t="str">
        <x:v>3k3</x:v>
      </x:c>
      <x:c r="D56" s="11" t="str">
        <x:v>RC0402FR-073K3L</x:v>
      </x:c>
      <x:c r="E56" s="11" t="str">
        <x:v>Yageo</x:v>
      </x:c>
      <x:c r="F56" s="11" t="str">
        <x:v>R0402</x:v>
      </x:c>
      <x:c r="G56" s="11" t="str">
        <x:v>RES 3.30K OHM 1/16W 1% 0402 SMD</x:v>
      </x:c>
      <x:c r="H56" s="1"/>
      <x:c r="I56" s="1"/>
      <x:c r="J56" s="1"/>
      <x:c r="K56" s="1"/>
    </x:row>
    <x:row r="57" ht="30" customHeight="1">
      <x:c r="A57" s="8" t="str">
        <x:v>R138</x:v>
      </x:c>
      <x:c r="B57" s="19" t="n">
        <x:v>1</x:v>
      </x:c>
      <x:c r="C57" s="8" t="str">
        <x:v>330k</x:v>
      </x:c>
      <x:c r="D57" s="8" t="str">
        <x:v>CRCW0402330KFKED</x:v>
      </x:c>
      <x:c r="E57" s="8" t="str">
        <x:v>Vishay Dale</x:v>
      </x:c>
      <x:c r="F57" s="8" t="str">
        <x:v>R0402</x:v>
      </x:c>
      <x:c r="G57" s="8" t="str">
        <x:v>RES 330K OHM 1/16W 1% 0402 SMD</x:v>
      </x:c>
      <x:c r="H57" s="1"/>
      <x:c r="I57" s="1"/>
      <x:c r="J57" s="1"/>
      <x:c r="K57" s="1"/>
    </x:row>
    <x:row r="58" ht="30" customHeight="1">
      <x:c r="A58" s="11" t="str">
        <x:v>R139</x:v>
      </x:c>
      <x:c r="B58" s="18" t="n">
        <x:v>1</x:v>
      </x:c>
      <x:c r="C58" s="11" t="str">
        <x:v>120k</x:v>
      </x:c>
      <x:c r="D58" s="11" t="str">
        <x:v>RC0402FR-07120KL</x:v>
      </x:c>
      <x:c r="E58" s="11" t="str">
        <x:v>Yageo</x:v>
      </x:c>
      <x:c r="F58" s="11" t="str">
        <x:v>R0402</x:v>
      </x:c>
      <x:c r="G58" s="11" t="str">
        <x:v>RES 120K OHM 1/16W 1% 0402 SMD</x:v>
      </x:c>
      <x:c r="H58" s="1"/>
      <x:c r="I58" s="1"/>
      <x:c r="J58" s="1"/>
      <x:c r="K58" s="1"/>
    </x:row>
    <x:row r="59" ht="30" customHeight="1">
      <x:c r="A59" s="8" t="str">
        <x:v>R147</x:v>
      </x:c>
      <x:c r="B59" s="19" t="n">
        <x:v>1</x:v>
      </x:c>
      <x:c r="C59" s="8" t="str">
        <x:v>27k</x:v>
      </x:c>
      <x:c r="D59" s="8" t="str">
        <x:v>RC0402FR-0727KL</x:v>
      </x:c>
      <x:c r="E59" s="8" t="str">
        <x:v>Yageo</x:v>
      </x:c>
      <x:c r="F59" s="8" t="str">
        <x:v>R0402</x:v>
      </x:c>
      <x:c r="G59" s="8" t="str">
        <x:v>RES 27.0K OHM 1/16W 1% 0402 SMD</x:v>
      </x:c>
      <x:c r="H59" s="1"/>
      <x:c r="I59" s="1"/>
      <x:c r="J59" s="1"/>
      <x:c r="K59" s="1"/>
    </x:row>
    <x:row r="60" ht="30" customHeight="1">
      <x:c r="A60" s="11" t="str">
        <x:v>U1</x:v>
      </x:c>
      <x:c r="B60" s="18" t="n">
        <x:v>1</x:v>
      </x:c>
      <x:c r="C60" s="11" t="str">
        <x:v>MCIMX6Q5EYM10AC</x:v>
      </x:c>
      <x:c r="D60" s="11" t="str">
        <x:v>MCIMX6Q5EYM10AC</x:v>
      </x:c>
      <x:c r="E60" s="11" t="str">
        <x:v>Freescale Semiconductor</x:v>
      </x:c>
      <x:c r="F60" s="11" t="str">
        <x:v>PBGA624</x:v>
      </x:c>
      <x:c r="G60" s="11" t="str">
        <x:v>IC MCU 32BIT ARM QUAD 624FCBGA</x:v>
      </x:c>
      <x:c r="H60" s="1"/>
      <x:c r="I60" s="1"/>
      <x:c r="J60" s="1"/>
      <x:c r="K60" s="1"/>
    </x:row>
    <x:row r="61" ht="36" customHeight="1">
      <x:c r="A61" s="8" t="str">
        <x:v>U2, U3, U4, U5</x:v>
      </x:c>
      <x:c r="B61" s="19" t="n">
        <x:v>4</x:v>
      </x:c>
      <x:c r="C61" s="8" t="str">
        <x:v>MT41J128M16HA-15E:D TR</x:v>
      </x:c>
      <x:c r="D61" s="8" t="str">
        <x:v>MT41J128M16HA-15E:D TR</x:v>
      </x:c>
      <x:c r="E61" s="8" t="str">
        <x:v>Micron Technology Inc</x:v>
      </x:c>
      <x:c r="F61" s="8" t="str">
        <x:v>96_FPGA_DD3</x:v>
      </x:c>
      <x:c r="G61" s="8" t="str">
        <x:v>IC DDR3 SDRAM 2GBIT 667MHZ 96BGA</x:v>
      </x:c>
      <x:c r="H61" s="1"/>
      <x:c r="I61" s="1"/>
      <x:c r="J61" s="1"/>
      <x:c r="K61" s="1"/>
    </x:row>
    <x:row r="62" ht="30" customHeight="1">
      <x:c r="A62" s="11" t="str">
        <x:v>U6</x:v>
      </x:c>
      <x:c r="B62" s="18" t="n">
        <x:v>1</x:v>
      </x:c>
      <x:c r="C62" s="11" t="str">
        <x:v>TPS3808G09DBVR</x:v>
      </x:c>
      <x:c r="D62" s="11" t="str">
        <x:v>TPS3808G09DBVR</x:v>
      </x:c>
      <x:c r="E62" s="11" t="str">
        <x:v>Texas Instruments</x:v>
      </x:c>
      <x:c r="F62" s="11" t="str">
        <x:v>DBV_SOT_23_6</x:v>
      </x:c>
      <x:c r="G62" s="11" t="str">
        <x:v>IC VOLT SUPERVISOR 0.9V SOT23-6</x:v>
      </x:c>
      <x:c r="H62" s="1"/>
      <x:c r="I62" s="1"/>
      <x:c r="J62" s="1"/>
      <x:c r="K62" s="1"/>
    </x:row>
    <x:row r="63" ht="30" customHeight="1">
      <x:c r="A63" s="8" t="str">
        <x:v>U7</x:v>
      </x:c>
      <x:c r="B63" s="19" t="n">
        <x:v>1</x:v>
      </x:c>
      <x:c r="C63" s="8" t="str">
        <x:v>SN74AHC1G09DBVR</x:v>
      </x:c>
      <x:c r="D63" s="8" t="str">
        <x:v>SN74AHC1G09DBVR</x:v>
      </x:c>
      <x:c r="E63" s="8" t="str">
        <x:v>Texas Instruments</x:v>
      </x:c>
      <x:c r="F63" s="8" t="str">
        <x:v>DBV_SOT_23_5</x:v>
      </x:c>
      <x:c r="G63" s="8" t="str">
        <x:v>IC GATE AND SGL 2INP SOT23-5</x:v>
      </x:c>
      <x:c r="H63" s="1"/>
      <x:c r="I63" s="1"/>
      <x:c r="J63" s="1"/>
      <x:c r="K63" s="1"/>
    </x:row>
    <x:row r="64" ht="30" customHeight="1">
      <x:c r="A64" s="11" t="str">
        <x:v>U8</x:v>
      </x:c>
      <x:c r="B64" s="18" t="n">
        <x:v>1</x:v>
      </x:c>
      <x:c r="C64" s="11" t="str">
        <x:v>KSZ9021RN</x:v>
      </x:c>
      <x:c r="D64" s="11" t="str">
        <x:v>KSZ9021RN</x:v>
      </x:c>
      <x:c r="E64" s="11" t="str">
        <x:v>Micrel Inc</x:v>
      </x:c>
      <x:c r="F64" s="11" t="str">
        <x:v>QFN48_7MMX7MM</x:v>
      </x:c>
      <x:c r="G64" s="11" t="str">
        <x:v>IC TXRX 10/100/1000 SGL 48QFN</x:v>
      </x:c>
      <x:c r="H64" s="1"/>
      <x:c r="I64" s="1"/>
      <x:c r="J64" s="1"/>
      <x:c r="K64" s="1"/>
    </x:row>
    <x:row r="65" ht="30" customHeight="1">
      <x:c r="A65" s="8" t="str">
        <x:v>U9</x:v>
      </x:c>
      <x:c r="B65" s="19" t="n">
        <x:v>1</x:v>
      </x:c>
      <x:c r="C65" s="8" t="str">
        <x:v>MIC33050-4YHL TR</x:v>
      </x:c>
      <x:c r="D65" s="8" t="str">
        <x:v>MIC33050-4YHL TR</x:v>
      </x:c>
      <x:c r="E65" s="8" t="str">
        <x:v>Micrel Inc</x:v>
      </x:c>
      <x:c r="F65" s="8" t="str">
        <x:v>MLF_3X3_12PINS</x:v>
      </x:c>
      <x:c r="G65" s="8" t="str">
        <x:v>IC BUCK SYNC 1.2V 0.6A 12MLF</x:v>
      </x:c>
      <x:c r="H65" s="1"/>
      <x:c r="I65" s="1"/>
      <x:c r="J65" s="1"/>
      <x:c r="K65" s="1"/>
    </x:row>
    <x:row r="66" ht="36" customHeight="1">
      <x:c r="A66" s="11" t="str">
        <x:v>U10</x:v>
      </x:c>
      <x:c r="B66" s="18" t="n">
        <x:v>1</x:v>
      </x:c>
      <x:c r="C66" s="11" t="str">
        <x:v>SST25VF016B-75-4I-QAF-ND</x:v>
      </x:c>
      <x:c r="D66" s="11" t="str">
        <x:v>SST25VF016B-75-4I-QAF</x:v>
      </x:c>
      <x:c r="E66" s="11" t="str">
        <x:v>Microchip Technology</x:v>
      </x:c>
      <x:c r="F66" s="11" t="str">
        <x:v>WSON8_6X5MM</x:v>
      </x:c>
      <x:c r="G66" s="11" t="str">
        <x:v>IC FLASH 16MBIT 75MHZ 8WSON</x:v>
      </x:c>
      <x:c r="H66" s="1"/>
      <x:c r="I66" s="1"/>
      <x:c r="J66" s="1"/>
      <x:c r="K66" s="1"/>
    </x:row>
    <x:row r="67" ht="30" customHeight="1">
      <x:c r="A67" s="8" t="str">
        <x:v>U11, U13</x:v>
      </x:c>
      <x:c r="B67" s="19" t="n">
        <x:v>2</x:v>
      </x:c>
      <x:c r="C67" s="8" t="str">
        <x:v>ISL6236AIRZ</x:v>
      </x:c>
      <x:c r="D67" s="8" t="str">
        <x:v>ISL6236AIRZ</x:v>
      </x:c>
      <x:c r="E67" s="8" t="str">
        <x:v>Intersil</x:v>
      </x:c>
      <x:c r="F67" s="8" t="str">
        <x:v>32_VFQFN_EXPOSED_PAD</x:v>
      </x:c>
      <x:c r="G67" s="8" t="str">
        <x:v>IC MAIN PWR CTRLR QUAD 32-QFN</x:v>
      </x:c>
      <x:c r="H67" s="1"/>
      <x:c r="I67" s="1"/>
      <x:c r="J67" s="1"/>
      <x:c r="K67" s="1"/>
    </x:row>
    <x:row r="68" ht="30" customHeight="1">
      <x:c r="A68" s="11" t="str">
        <x:v>U12</x:v>
      </x:c>
      <x:c r="B68" s="18" t="n">
        <x:v>1</x:v>
      </x:c>
      <x:c r="C68" s="11" t="str">
        <x:v>TPS62175DQCT</x:v>
      </x:c>
      <x:c r="D68" s="11" t="str">
        <x:v>TPS62175DQCT</x:v>
      </x:c>
      <x:c r="E68" s="11" t="str">
        <x:v>Texas Instruments</x:v>
      </x:c>
      <x:c r="F68" s="11" t="str">
        <x:v>DQC_PWSON-N10</x:v>
      </x:c>
      <x:c r="G68" s="11" t="str">
        <x:v>IC REG BUCK SYNC ADJ 0.5A 10WSON</x:v>
      </x:c>
      <x:c r="H68" s="1"/>
      <x:c r="I68" s="1"/>
      <x:c r="J68" s="1"/>
      <x:c r="K68" s="1"/>
    </x:row>
    <x:row r="69" ht="30" customHeight="1">
      <x:c r="A69" s="8" t="str">
        <x:v>Y1</x:v>
      </x:c>
      <x:c r="B69" s="19" t="n">
        <x:v>1</x:v>
      </x:c>
      <x:c r="C69" s="8" t="str">
        <x:v>24MHz</x:v>
      </x:c>
      <x:c r="D69" s="8" t="str">
        <x:v>ABM7-24.000MHZ-D-2-Y-T</x:v>
      </x:c>
      <x:c r="E69" s="8" t="str">
        <x:v>Abracon Corporation</x:v>
      </x:c>
      <x:c r="F69" s="8" t="str">
        <x:v>ABM7_V1_1</x:v>
      </x:c>
      <x:c r="G69" s="8" t="str">
        <x:v>CRYSTAL 24.0000MHZ 18PF SMD</x:v>
      </x:c>
      <x:c r="H69" s="1"/>
      <x:c r="I69" s="1"/>
      <x:c r="J69" s="1"/>
      <x:c r="K69" s="1"/>
    </x:row>
    <x:row r="70" ht="30" customHeight="1">
      <x:c r="A70" s="11" t="str">
        <x:v>Y2</x:v>
      </x:c>
      <x:c r="B70" s="18" t="n">
        <x:v>1</x:v>
      </x:c>
      <x:c r="C70" s="11" t="str">
        <x:v>32.768kHz</x:v>
      </x:c>
      <x:c r="D70" s="11" t="str">
        <x:v>ABS06-32.768KHZ-9-1-T</x:v>
      </x:c>
      <x:c r="E70" s="11" t="str">
        <x:v>Abracon Corporation</x:v>
      </x:c>
      <x:c r="F70" s="11" t="str">
        <x:v>ABS06</x:v>
      </x:c>
      <x:c r="G70" s="11" t="str">
        <x:v>CRYSTAL 32.768 KHZ 9.0 PF SMD</x:v>
      </x:c>
      <x:c r="H70" s="1"/>
      <x:c r="I70" s="1"/>
      <x:c r="J70" s="1"/>
      <x:c r="K70" s="1"/>
    </x:row>
    <x:row r="71" ht="30" customHeight="1">
      <x:c r="A71" s="8" t="str">
        <x:v>Y3</x:v>
      </x:c>
      <x:c r="B71" s="19" t="n">
        <x:v>1</x:v>
      </x:c>
      <x:c r="C71" s="8" t="str">
        <x:v>25MHz</x:v>
      </x:c>
      <x:c r="D71" s="8" t="str">
        <x:v>ABM7-25.000MHZ-D-2-Y-T</x:v>
      </x:c>
      <x:c r="E71" s="8" t="str">
        <x:v>Abracon Corporation</x:v>
      </x:c>
      <x:c r="F71" s="8" t="str">
        <x:v>ABM7_V1_1</x:v>
      </x:c>
      <x:c r="G71" s="8" t="str">
        <x:v>CRYSTAL 25.0000 MHZ 18PF SMD</x:v>
      </x:c>
      <x:c r="H71" s="1"/>
      <x:c r="I71" s="1"/>
      <x:c r="J71" s="1"/>
      <x:c r="K71" s="1"/>
    </x:row>
    <x:row r="72">
      <x:c r="A72" s="1"/>
      <x:c r="B72" s="16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9" customHeight="1">
      <x:c r="A73" s="13" t="str">
        <x:v>Total de componentes com MPN</x:v>
      </x:c>
      <x:c r="B73" s="17" t="n">
        <x:f>SUM(B6:B71)</x:f>
        <x:v>457</x:v>
      </x:c>
      <x:c r="C73" s="13"/>
      <x:c r="D73" s="13"/>
      <x:c r="E73" s="13"/>
      <x:c r="F73" s="13"/>
      <x:c r="G73" s="13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</x:row>
  </x:sheetData>
  <x:pageMargins left="0.7" right="0.7" top="0.75" bottom="0.75" header="0.3" footer="0.3"/>
  <x:tableParts count="1">
    <x:tablePart xmlns:r="http://schemas.openxmlformats.org/officeDocument/2006/relationships" r:id="R9dd0497baf6b42be"/>
  </x:tableParts>
</x:worksheet>
</file>

<file path=xl/worksheets/sheet3.xml><?xml version="1.0" encoding="utf-8"?>
<x:worksheet xmlns:x="http://schemas.openxmlformats.org/spreadsheetml/2006/main">
  <x:sheetPr>
    <x:tabColor rgb="FF047F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12" hidden="0" customWidth="1"/>
    <x:col min="3" max="3" width="25" hidden="0" customWidth="1"/>
    <x:col min="4" max="4" width="32" hidden="0" customWidth="1"/>
    <x:col min="5" max="5" width="29" hidden="0" customWidth="1"/>
    <x:col min="6" max="6" width="27" hidden="0" customWidth="1"/>
    <x:col min="7" max="7" width="56" hidden="0" customWidth="1"/>
  </x:cols>
  <x:sheetData>
    <x:row r="1" ht="34" customHeight="1">
      <x:c r="A1" s="2" t="str">
        <x:v>BOM | Placa base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7" t="str">
        <x:v>Projeto base • sem aplicar Prototype • quantidades por uma placa</x:v>
      </x:c>
      <x:c r="B2" s="7"/>
      <x:c r="C2" s="7"/>
      <x:c r="D2" s="7"/>
      <x:c r="E2" s="7"/>
      <x:c r="F2" s="7"/>
      <x:c r="G2" s="7"/>
      <x:c r="H2" s="1"/>
      <x:c r="I2" s="1"/>
      <x:c r="J2" s="1"/>
      <x:c r="K2" s="1"/>
    </x:row>
    <x:row r="3">
      <x:c r="A3" s="7" t="str">
        <x:v>Fonte: Placa_base_L7-01 / arquivos SchDoc + PcbDoc</x:v>
      </x:c>
      <x:c r="B3" s="7"/>
      <x:c r="C3" s="7"/>
      <x:c r="D3" s="7"/>
      <x:c r="E3" s="7"/>
      <x:c r="F3" s="7"/>
      <x:c r="G3" s="7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0" t="str">
        <x:v>Designators</x:v>
      </x:c>
      <x:c r="B5" s="10" t="str">
        <x:v>Qtd. / placa</x:v>
      </x:c>
      <x:c r="C5" s="10" t="str">
        <x:v>Valor / comentário</x:v>
      </x:c>
      <x:c r="D5" s="10" t="str">
        <x:v>Código do fabricante (MPN)</x:v>
      </x:c>
      <x:c r="E5" s="10" t="str">
        <x:v>Fabricante</x:v>
      </x:c>
      <x:c r="F5" s="10" t="str">
        <x:v>Footprint</x:v>
      </x:c>
      <x:c r="G5" s="10" t="str">
        <x:v>Descrição</x:v>
      </x:c>
      <x:c r="H5" s="1"/>
      <x:c r="I5" s="1"/>
      <x:c r="J5" s="1"/>
      <x:c r="K5" s="1"/>
    </x:row>
    <x:row r="6" ht="192" customHeight="1">
      <x:c r="A6" s="11" t="str">
        <x:v>C1, C3, C6, C8, C9, C10, C14, C17, C22, C23, C27, C28, C29, C30, C31, C57, C69, C71, C72, C73, C74, C75, C77, C78, C80, C83, C84, C86, C88, C89, C90, C93, C94, C97, C98, C101, C103, C106, C108, C109, C110, C111, C112, C114, C115, C116, C117, C118, C120, C121, C127, C128, C129, C140, C148, C151, C152, C153, C154, C155, C156, C157, C158, C163, C166, C167, C170, C171, C173, C175, C176, C178, C180, C186, C187, C195, C198, C199, C200, C201, C202, C203, C204, C205, C206, C207, C213, C214, C216, C218</x:v>
      </x:c>
      <x:c r="B6" s="18" t="n">
        <x:v>90</x:v>
      </x:c>
      <x:c r="C6" s="11" t="str">
        <x:v>100nF</x:v>
      </x:c>
      <x:c r="D6" s="11" t="str">
        <x:v>C1005X5R1H104K</x:v>
      </x:c>
      <x:c r="E6" s="11" t="str">
        <x:v>TDK Corporation</x:v>
      </x:c>
      <x:c r="F6" s="11" t="str">
        <x:v>C0402</x:v>
      </x:c>
      <x:c r="G6" s="11" t="str">
        <x:v>CAP CER 0.1UF 50V 10% X5R 0402</x:v>
      </x:c>
      <x:c r="H6" s="1"/>
      <x:c r="I6" s="1"/>
      <x:c r="J6" s="1"/>
      <x:c r="K6" s="1"/>
    </x:row>
    <x:row r="7" ht="36" customHeight="1">
      <x:c r="A7" s="8" t="str">
        <x:v>C2, C7, C82, C184, C185, C196, C197, C208</x:v>
      </x:c>
      <x:c r="B7" s="19" t="n">
        <x:v>8</x:v>
      </x:c>
      <x:c r="C7" s="8" t="str">
        <x:v>10uF</x:v>
      </x:c>
      <x:c r="D7" s="8" t="str">
        <x:v>GRM31CR6YA106KA12L</x:v>
      </x:c>
      <x:c r="E7" s="8" t="str">
        <x:v>Murata Electronics North America</x:v>
      </x:c>
      <x:c r="F7" s="8" t="str">
        <x:v>C1206</x:v>
      </x:c>
      <x:c r="G7" s="8" t="str">
        <x:v>CAP CER 10UF 35V 10% X5R 1206</x:v>
      </x:c>
      <x:c r="H7" s="1"/>
      <x:c r="I7" s="1"/>
      <x:c r="J7" s="1"/>
      <x:c r="K7" s="1"/>
    </x:row>
    <x:row r="8" ht="88" customHeight="1">
      <x:c r="A8" s="11" t="str">
        <x:v>C4, C18, C33, C37, C38, C39, C41, C42, C44, C45, C46, C48, C50, C51, C53, C58, C59, C60, C61, C63, C64, C65, C66, C68, C81, C95, C105, C107, C113, C130, C131, C136, C138, C147, C159, C161, C162, C168, C169, C181, C182, C209, C211</x:v>
      </x:c>
      <x:c r="B8" s="18" t="n">
        <x:v>43</x:v>
      </x:c>
      <x:c r="C8" s="11" t="str">
        <x:v>1uF</x:v>
      </x:c>
      <x:c r="D8" s="11" t="str">
        <x:v>C1005X5R1C105K</x:v>
      </x:c>
      <x:c r="E8" s="11" t="str">
        <x:v>TDK Corporation</x:v>
      </x:c>
      <x:c r="F8" s="11" t="str">
        <x:v>C0402</x:v>
      </x:c>
      <x:c r="G8" s="11" t="str">
        <x:v>CAP CER 1UF 16V 10% X5R 0402</x:v>
      </x:c>
      <x:c r="H8" s="1"/>
      <x:c r="I8" s="1"/>
      <x:c r="J8" s="1"/>
      <x:c r="K8" s="1"/>
    </x:row>
    <x:row r="9" ht="30" customHeight="1">
      <x:c r="A9" s="8" t="str">
        <x:v>C5, C11, C79, C177</x:v>
      </x:c>
      <x:c r="B9" s="19" t="n">
        <x:v>4</x:v>
      </x:c>
      <x:c r="C9" s="8" t="str">
        <x:v>22u</x:v>
      </x:c>
      <x:c r="D9" s="8" t="str">
        <x:v>C2012X5R1C226K</x:v>
      </x:c>
      <x:c r="E9" s="8" t="str">
        <x:v>TDK Corporation</x:v>
      </x:c>
      <x:c r="F9" s="8" t="str">
        <x:v>C0805</x:v>
      </x:c>
      <x:c r="G9" s="8" t="str">
        <x:v>CAP CER 22UF 16V 10% X5R 0805</x:v>
      </x:c>
      <x:c r="H9" s="1"/>
      <x:c r="I9" s="1"/>
      <x:c r="J9" s="1"/>
      <x:c r="K9" s="1"/>
    </x:row>
    <x:row r="10" ht="30" customHeight="1">
      <x:c r="A10" s="11" t="str">
        <x:v>C12, C13, C24, C25, C70</x:v>
      </x:c>
      <x:c r="B10" s="18" t="n">
        <x:v>5</x:v>
      </x:c>
      <x:c r="C10" s="11" t="str">
        <x:v>330u</x:v>
      </x:c>
      <x:c r="D10" s="11" t="str">
        <x:v>T520D337M006ATE045</x:v>
      </x:c>
      <x:c r="E10" s="11" t="str">
        <x:v>Kemet</x:v>
      </x:c>
      <x:c r="F10" s="11" t="str">
        <x:v>C2917</x:v>
      </x:c>
      <x:c r="G10" s="11" t="str">
        <x:v>CAP TANT 330UF 6.3V 20% 2917</x:v>
      </x:c>
      <x:c r="H10" s="1"/>
      <x:c r="I10" s="1"/>
      <x:c r="J10" s="1"/>
      <x:c r="K10" s="1"/>
    </x:row>
    <x:row r="11" ht="36" customHeight="1">
      <x:c r="A11" s="8" t="str">
        <x:v>C15, C16, C19, C26, C32, C34, C102, C104, C141, C142, C210, C212, C215, C217</x:v>
      </x:c>
      <x:c r="B11" s="19" t="n">
        <x:v>14</x:v>
      </x:c>
      <x:c r="C11" s="8" t="str">
        <x:v>4u7</x:v>
      </x:c>
      <x:c r="D11" s="8" t="str">
        <x:v>C1005X5R1A475M</x:v>
      </x:c>
      <x:c r="E11" s="8" t="str">
        <x:v>TDK Corporation</x:v>
      </x:c>
      <x:c r="F11" s="8" t="str">
        <x:v>C0402</x:v>
      </x:c>
      <x:c r="G11" s="8" t="str">
        <x:v>CAP CER 4.7UF 10V 20% X5R 0402</x:v>
      </x:c>
      <x:c r="H11" s="1"/>
      <x:c r="I11" s="1"/>
      <x:c r="J11" s="1"/>
      <x:c r="K11" s="1"/>
    </x:row>
    <x:row r="12" ht="36" customHeight="1">
      <x:c r="A12" s="11" t="str">
        <x:v>C20, C35, C43, C76, C126, C150, C172, C174, C179</x:v>
      </x:c>
      <x:c r="B12" s="18" t="n">
        <x:v>9</x:v>
      </x:c>
      <x:c r="C12" s="11" t="str">
        <x:v>10µF</x:v>
      </x:c>
      <x:c r="D12" s="11" t="str">
        <x:v>C1608X5R0J106M</x:v>
      </x:c>
      <x:c r="E12" s="11" t="str">
        <x:v>TDK Corporation</x:v>
      </x:c>
      <x:c r="F12" s="11" t="str">
        <x:v>C0603</x:v>
      </x:c>
      <x:c r="G12" s="11" t="str">
        <x:v>CAP CER 10UF 6.3V 20% X5R 0603</x:v>
      </x:c>
      <x:c r="H12" s="1"/>
      <x:c r="I12" s="1"/>
      <x:c r="J12" s="1"/>
      <x:c r="K12" s="1"/>
    </x:row>
    <x:row r="13" ht="36" customHeight="1">
      <x:c r="A13" s="8" t="str">
        <x:v>C21, C36, C132, C133, C143, C144</x:v>
      </x:c>
      <x:c r="B13" s="19" t="n">
        <x:v>6</x:v>
      </x:c>
      <x:c r="C13" s="8" t="str">
        <x:v>2700pF</x:v>
      </x:c>
      <x:c r="D13" s="8" t="str">
        <x:v>GRM155R71H272KA01D</x:v>
      </x:c>
      <x:c r="E13" s="8" t="str">
        <x:v>Murata Electronics North America</x:v>
      </x:c>
      <x:c r="F13" s="8" t="str">
        <x:v>C0402</x:v>
      </x:c>
      <x:c r="G13" s="8" t="str">
        <x:v>CAP CER 2700PF 50V 10% X7R 0402</x:v>
      </x:c>
      <x:c r="H13" s="1"/>
      <x:c r="I13" s="1"/>
      <x:c r="J13" s="1"/>
      <x:c r="K13" s="1"/>
    </x:row>
    <x:row r="14" ht="30" customHeight="1">
      <x:c r="A14" s="11" t="str">
        <x:v>C40, C85, C87, C91, C92, C96</x:v>
      </x:c>
      <x:c r="B14" s="18" t="n">
        <x:v>6</x:v>
      </x:c>
      <x:c r="C14" s="11" t="str">
        <x:v>330u</x:v>
      </x:c>
      <x:c r="D14" s="11" t="str">
        <x:v>T495D337K010ATE150</x:v>
      </x:c>
      <x:c r="E14" s="11" t="str">
        <x:v>Kemet</x:v>
      </x:c>
      <x:c r="F14" s="11" t="str">
        <x:v>C2917</x:v>
      </x:c>
      <x:c r="G14" s="11" t="str">
        <x:v>CAP TANT 330UF 10V 10% 2917</x:v>
      </x:c>
      <x:c r="H14" s="1"/>
      <x:c r="I14" s="1"/>
      <x:c r="J14" s="1"/>
      <x:c r="K14" s="1"/>
    </x:row>
    <x:row r="15" ht="30" customHeight="1">
      <x:c r="A15" s="8" t="str">
        <x:v>C47, C52, C55, C56, C67</x:v>
      </x:c>
      <x:c r="B15" s="19" t="n">
        <x:v>5</x:v>
      </x:c>
      <x:c r="C15" s="8" t="str">
        <x:v>470nF</x:v>
      </x:c>
      <x:c r="D15" s="8" t="str">
        <x:v>C1005X5R1C474K</x:v>
      </x:c>
      <x:c r="E15" s="8" t="str">
        <x:v>TDK Corporation</x:v>
      </x:c>
      <x:c r="F15" s="8" t="str">
        <x:v>C0402</x:v>
      </x:c>
      <x:c r="G15" s="8" t="str">
        <x:v>CAP CER 0.47UF 16V 10% X5R 0402</x:v>
      </x:c>
      <x:c r="H15" s="1"/>
      <x:c r="I15" s="1"/>
      <x:c r="J15" s="1"/>
      <x:c r="K15" s="1"/>
    </x:row>
    <x:row r="16" ht="30" customHeight="1">
      <x:c r="A16" s="11" t="str">
        <x:v>C49</x:v>
      </x:c>
      <x:c r="B16" s="18" t="n">
        <x:v>1</x:v>
      </x:c>
      <x:c r="C16" s="11" t="str">
        <x:v>10nF</x:v>
      </x:c>
      <x:c r="D16" s="11" t="str">
        <x:v>C1005X7R1H103K</x:v>
      </x:c>
      <x:c r="E16" s="11" t="str">
        <x:v>TDK Corporation</x:v>
      </x:c>
      <x:c r="F16" s="11" t="str">
        <x:v>C0402</x:v>
      </x:c>
      <x:c r="G16" s="11" t="str">
        <x:v>CAP CER 10000PF 50V 10% X7R 0402</x:v>
      </x:c>
      <x:c r="H16" s="1"/>
      <x:c r="I16" s="1"/>
      <x:c r="J16" s="1"/>
      <x:c r="K16" s="1"/>
    </x:row>
    <x:row r="17" ht="36" customHeight="1">
      <x:c r="A17" s="8" t="str">
        <x:v>C54, C122, C123, C134, C135, C145, C146, C149</x:v>
      </x:c>
      <x:c r="B17" s="19" t="n">
        <x:v>8</x:v>
      </x:c>
      <x:c r="C17" s="8" t="str">
        <x:v>270pF</x:v>
      </x:c>
      <x:c r="D17" s="8" t="str">
        <x:v>GRM155R71H271KA01D</x:v>
      </x:c>
      <x:c r="E17" s="8" t="str">
        <x:v>Murata Electronics North America</x:v>
      </x:c>
      <x:c r="F17" s="8" t="str">
        <x:v>C0402</x:v>
      </x:c>
      <x:c r="G17" s="8" t="str">
        <x:v>CAP CER 270PF 50V 10% X7R 0402</x:v>
      </x:c>
      <x:c r="H17" s="1"/>
      <x:c r="I17" s="1"/>
      <x:c r="J17" s="1"/>
      <x:c r="K17" s="1"/>
    </x:row>
    <x:row r="18" ht="30" customHeight="1">
      <x:c r="A18" s="11" t="str">
        <x:v>C62</x:v>
      </x:c>
      <x:c r="B18" s="18" t="n">
        <x:v>1</x:v>
      </x:c>
      <x:c r="C18" s="11" t="str">
        <x:v>2u2</x:v>
      </x:c>
      <x:c r="D18" s="11" t="str">
        <x:v>C1005X5R1A225K</x:v>
      </x:c>
      <x:c r="E18" s="11" t="str">
        <x:v>TDK Corporation</x:v>
      </x:c>
      <x:c r="F18" s="11" t="str">
        <x:v>C0402</x:v>
      </x:c>
      <x:c r="G18" s="11" t="str">
        <x:v>CAP CER 2.2UF 10V 10% X5R 0402</x:v>
      </x:c>
      <x:c r="H18" s="1"/>
      <x:c r="I18" s="1"/>
      <x:c r="J18" s="1"/>
      <x:c r="K18" s="1"/>
    </x:row>
    <x:row r="19" ht="30" customHeight="1">
      <x:c r="A19" s="8" t="str">
        <x:v>C99, C100</x:v>
      </x:c>
      <x:c r="B19" s="19" t="n">
        <x:v>2</x:v>
      </x:c>
      <x:c r="C19" s="8" t="str">
        <x:v>18pF</x:v>
      </x:c>
      <x:c r="D19" s="8" t="str">
        <x:v>C1005C0G1H180J</x:v>
      </x:c>
      <x:c r="E19" s="8" t="str">
        <x:v>TDK Corporation</x:v>
      </x:c>
      <x:c r="F19" s="8" t="str">
        <x:v>C0402</x:v>
      </x:c>
      <x:c r="G19" s="8" t="str">
        <x:v>CAP CER 18PF 50V 5% NP0 0402</x:v>
      </x:c>
      <x:c r="H19" s="1"/>
      <x:c r="I19" s="1"/>
      <x:c r="J19" s="1"/>
      <x:c r="K19" s="1"/>
    </x:row>
    <x:row r="20" ht="30" customHeight="1">
      <x:c r="A20" s="11" t="str">
        <x:v>C119</x:v>
      </x:c>
      <x:c r="B20" s="18" t="n">
        <x:v>1</x:v>
      </x:c>
      <x:c r="C20" s="11" t="str">
        <x:v>1000pF, 2kV</x:v>
      </x:c>
      <x:c r="D20" s="11" t="str">
        <x:v>C1206X102KGRACTU</x:v>
      </x:c>
      <x:c r="E20" s="11" t="str">
        <x:v>Kemet</x:v>
      </x:c>
      <x:c r="F20" s="11" t="str">
        <x:v>C1206</x:v>
      </x:c>
      <x:c r="G20" s="11" t="str">
        <x:v>CAP CER 1000PF 2KV 10% X7R 1206</x:v>
      </x:c>
      <x:c r="H20" s="1"/>
      <x:c r="I20" s="1"/>
      <x:c r="J20" s="1"/>
      <x:c r="K20" s="1"/>
    </x:row>
    <x:row r="21" ht="30" customHeight="1">
      <x:c r="A21" s="8" t="str">
        <x:v>C124, C125</x:v>
      </x:c>
      <x:c r="B21" s="19" t="n">
        <x:v>2</x:v>
      </x:c>
      <x:c r="C21" s="8" t="str">
        <x:v>100pF</x:v>
      </x:c>
      <x:c r="D21" s="8" t="str">
        <x:v>C1005C0G1H101J</x:v>
      </x:c>
      <x:c r="E21" s="8" t="str">
        <x:v>TDK Corporation</x:v>
      </x:c>
      <x:c r="F21" s="8" t="str">
        <x:v>C0402</x:v>
      </x:c>
      <x:c r="G21" s="8" t="str">
        <x:v>CAP CER 100PF 50V 5% NP0 0402</x:v>
      </x:c>
      <x:c r="H21" s="1"/>
      <x:c r="I21" s="1"/>
      <x:c r="J21" s="1"/>
      <x:c r="K21" s="1"/>
    </x:row>
    <x:row r="22" ht="36" customHeight="1">
      <x:c r="A22" s="11" t="str">
        <x:v>C137, C139</x:v>
      </x:c>
      <x:c r="B22" s="18" t="n">
        <x:v>2</x:v>
      </x:c>
      <x:c r="C22" s="11" t="str">
        <x:v>220u, 4V</x:v>
      </x:c>
      <x:c r="D22" s="11" t="str">
        <x:v>TLNS227M004R3000</x:v>
      </x:c>
      <x:c r="E22" s="11" t="str">
        <x:v>AVX Corporation</x:v>
      </x:c>
      <x:c r="F22" s="11" t="str">
        <x:v>C1206 -  TLN S Case Tantal</x:v>
      </x:c>
      <x:c r="G22" s="11" t="str">
        <x:v>CAP TANT 220UF 4V 20% 1206</x:v>
      </x:c>
      <x:c r="H22" s="1"/>
      <x:c r="I22" s="1"/>
      <x:c r="J22" s="1"/>
      <x:c r="K22" s="1"/>
    </x:row>
    <x:row r="23" ht="30" customHeight="1">
      <x:c r="A23" s="8" t="str">
        <x:v>C160</x:v>
      </x:c>
      <x:c r="B23" s="19" t="n">
        <x:v>1</x:v>
      </x:c>
      <x:c r="C23" s="8" t="str">
        <x:v>220nF</x:v>
      </x:c>
      <x:c r="D23" s="8" t="str">
        <x:v>C1005X5R1E224M</x:v>
      </x:c>
      <x:c r="E23" s="8" t="str">
        <x:v>TDK Corporation</x:v>
      </x:c>
      <x:c r="F23" s="8" t="str">
        <x:v>C0402</x:v>
      </x:c>
      <x:c r="G23" s="8" t="str">
        <x:v>CAP CER 0.22UF 25V 20% X5R 0402</x:v>
      </x:c>
      <x:c r="H23" s="1"/>
      <x:c r="I23" s="1"/>
      <x:c r="J23" s="1"/>
      <x:c r="K23" s="1"/>
    </x:row>
    <x:row r="24" ht="30" customHeight="1">
      <x:c r="A24" s="11" t="str">
        <x:v>C164, C165</x:v>
      </x:c>
      <x:c r="B24" s="18" t="n">
        <x:v>2</x:v>
      </x:c>
      <x:c r="C24" s="11" t="str">
        <x:v>4x 220pF</x:v>
      </x:c>
      <x:c r="D24" s="11" t="str">
        <x:v>CKCL44X7R1H221M</x:v>
      </x:c>
      <x:c r="E24" s="11" t="str">
        <x:v>TDK Corporation</x:v>
      </x:c>
      <x:c r="F24" s="11" t="str">
        <x:v>4X_CAP_CC0805_CKCL44</x:v>
      </x:c>
      <x:c r="G24" s="11" t="str">
        <x:v>CAP ARRAY 4CH 220PF 50V 0805</x:v>
      </x:c>
      <x:c r="H24" s="1"/>
      <x:c r="I24" s="1"/>
      <x:c r="J24" s="1"/>
      <x:c r="K24" s="1"/>
    </x:row>
    <x:row r="25" ht="36" customHeight="1">
      <x:c r="A25" s="8" t="str">
        <x:v>C183</x:v>
      </x:c>
      <x:c r="B25" s="19" t="n">
        <x:v>1</x:v>
      </x:c>
      <x:c r="C25" s="8" t="str">
        <x:v>1uF</x:v>
      </x:c>
      <x:c r="D25" s="8" t="str">
        <x:v>GRM21BR71H105KA12L</x:v>
      </x:c>
      <x:c r="E25" s="8" t="str">
        <x:v>Murata Electronics North America</x:v>
      </x:c>
      <x:c r="F25" s="8" t="str">
        <x:v>C0805</x:v>
      </x:c>
      <x:c r="G25" s="8" t="str">
        <x:v>CAP CER 1UF 50V 10% X7R 0805</x:v>
      </x:c>
      <x:c r="H25" s="1"/>
      <x:c r="I25" s="1"/>
      <x:c r="J25" s="1"/>
      <x:c r="K25" s="1"/>
    </x:row>
    <x:row r="26" ht="30" customHeight="1">
      <x:c r="A26" s="11" t="str">
        <x:v>C188, C189, C190, C191, C192, C193</x:v>
      </x:c>
      <x:c r="B26" s="18" t="n">
        <x:v>6</x:v>
      </x:c>
      <x:c r="C26" s="11" t="str">
        <x:v>100µF</x:v>
      </x:c>
      <x:c r="D26" s="11" t="str">
        <x:v>C3216X5R1A107M</x:v>
      </x:c>
      <x:c r="E26" s="11" t="str">
        <x:v>TDK Corporation</x:v>
      </x:c>
      <x:c r="F26" s="11" t="str">
        <x:v>C1206</x:v>
      </x:c>
      <x:c r="G26" s="11" t="str">
        <x:v>CAP CER 100UF 10V 20% X5R 1206</x:v>
      </x:c>
      <x:c r="H26" s="1"/>
      <x:c r="I26" s="1"/>
      <x:c r="J26" s="1"/>
      <x:c r="K26" s="1"/>
    </x:row>
    <x:row r="27" ht="30" customHeight="1">
      <x:c r="A27" s="8" t="str">
        <x:v>C194</x:v>
      </x:c>
      <x:c r="B27" s="19" t="n">
        <x:v>1</x:v>
      </x:c>
      <x:c r="C27" s="8" t="str">
        <x:v>10nF</x:v>
      </x:c>
      <x:c r="D27" s="8" t="str">
        <x:v>C1005X7R1C103K</x:v>
      </x:c>
      <x:c r="E27" s="8" t="str">
        <x:v>TDK Corporation</x:v>
      </x:c>
      <x:c r="F27" s="8" t="str">
        <x:v>C0402</x:v>
      </x:c>
      <x:c r="G27" s="8" t="str">
        <x:v>CAP CER 10000PF 16V 10% X7R 0402</x:v>
      </x:c>
      <x:c r="H27" s="1"/>
      <x:c r="I27" s="1"/>
      <x:c r="J27" s="1"/>
      <x:c r="K27" s="1"/>
    </x:row>
    <x:row r="28" ht="30" customHeight="1">
      <x:c r="A28" s="11" t="str">
        <x:v>CFAST1</x:v>
      </x:c>
      <x:c r="B28" s="18" t="n">
        <x:v>1</x:v>
      </x:c>
      <x:c r="C28" s="11" t="str">
        <x:v>7E50-C016-00</x:v>
      </x:c>
      <x:c r="D28" s="11" t="str">
        <x:v>7E50-C016-00</x:v>
      </x:c>
      <x:c r="E28" s="11" t="str">
        <x:v>3M</x:v>
      </x:c>
      <x:c r="F28" s="11" t="str">
        <x:v>CFAST_LOCKER</x:v>
      </x:c>
      <x:c r="G28" s="11" t="str">
        <x:v>CF CARD EJECT/LATCHING RETAINER</x:v>
      </x:c>
      <x:c r="H28" s="1"/>
      <x:c r="I28" s="1"/>
      <x:c r="J28" s="1"/>
      <x:c r="K28" s="1"/>
    </x:row>
    <x:row r="29" ht="36" customHeight="1">
      <x:c r="A29" s="8" t="str">
        <x:v>D1, D2, D3, D6</x:v>
      </x:c>
      <x:c r="B29" s="19" t="n">
        <x:v>4</x:v>
      </x:c>
      <x:c r="C29" s="8" t="str">
        <x:v>Green</x:v>
      </x:c>
      <x:c r="D29" s="8" t="str">
        <x:v>LG L29K-G2J1-24-Z</x:v>
      </x:c>
      <x:c r="E29" s="8" t="str">
        <x:v>OSRAM Opto Semiconductors Inc</x:v>
      </x:c>
      <x:c r="F29" s="8" t="str">
        <x:v>LED_0603</x:v>
      </x:c>
      <x:c r="G29" s="8" t="str">
        <x:v>LED SMARTLED GREEN 570NM 0603</x:v>
      </x:c>
      <x:c r="H29" s="1"/>
      <x:c r="I29" s="1"/>
      <x:c r="J29" s="1"/>
      <x:c r="K29" s="1"/>
    </x:row>
    <x:row r="30" ht="30" customHeight="1">
      <x:c r="A30" s="11" t="str">
        <x:v>D4, D5</x:v>
      </x:c>
      <x:c r="B30" s="18" t="n">
        <x:v>2</x:v>
      </x:c>
      <x:c r="C30" s="11" t="str">
        <x:v>BZA956A,115</x:v>
      </x:c>
      <x:c r="D30" s="11" t="str">
        <x:v>BZA956A,115</x:v>
      </x:c>
      <x:c r="E30" s="11" t="str">
        <x:v>NXP Semiconductors</x:v>
      </x:c>
      <x:c r="F30" s="11" t="str">
        <x:v>SOT665</x:v>
      </x:c>
      <x:c r="G30" s="11" t="str">
        <x:v>TVS ZENER QUAD 5.6V SOT665</x:v>
      </x:c>
      <x:c r="H30" s="1"/>
      <x:c r="I30" s="1"/>
      <x:c r="J30" s="1"/>
      <x:c r="K30" s="1"/>
    </x:row>
    <x:row r="31" ht="30" customHeight="1">
      <x:c r="A31" s="8" t="str">
        <x:v>D7, D21, D22</x:v>
      </x:c>
      <x:c r="B31" s="19" t="n">
        <x:v>3</x:v>
      </x:c>
      <x:c r="C31" s="8" t="str">
        <x:v>BAT54HT1G</x:v>
      </x:c>
      <x:c r="D31" s="8" t="str">
        <x:v>BAT54HT1G</x:v>
      </x:c>
      <x:c r="E31" s="8" t="str">
        <x:v>Fairchild Semiconductor</x:v>
      </x:c>
      <x:c r="F31" s="8" t="str">
        <x:v>SOD323</x:v>
      </x:c>
      <x:c r="G31" s="8" t="str">
        <x:v>DIODE SCHOTTKY 30V 0.2A SOD323</x:v>
      </x:c>
      <x:c r="H31" s="1"/>
      <x:c r="I31" s="1"/>
      <x:c r="J31" s="1"/>
      <x:c r="K31" s="1"/>
    </x:row>
    <x:row r="32" ht="30" customHeight="1">
      <x:c r="A32" s="11" t="str">
        <x:v>D8, D9, D10, D11, D13</x:v>
      </x:c>
      <x:c r="B32" s="18" t="n">
        <x:v>5</x:v>
      </x:c>
      <x:c r="C32" s="11" t="str">
        <x:v>BGX50AE6327</x:v>
      </x:c>
      <x:c r="D32" s="11" t="str">
        <x:v>BGX50AE6327</x:v>
      </x:c>
      <x:c r="E32" s="11" t="str">
        <x:v>Infineon Technologies</x:v>
      </x:c>
      <x:c r="F32" s="11" t="str">
        <x:v>SOT143</x:v>
      </x:c>
      <x:c r="G32" s="11" t="str">
        <x:v>DIODE SWITCHING 50V SOT-143</x:v>
      </x:c>
      <x:c r="H32" s="1"/>
      <x:c r="I32" s="1"/>
      <x:c r="J32" s="1"/>
      <x:c r="K32" s="1"/>
    </x:row>
    <x:row r="33" ht="36" customHeight="1">
      <x:c r="A33" s="8" t="str">
        <x:v>D12, D14</x:v>
      </x:c>
      <x:c r="B33" s="19" t="n">
        <x:v>2</x:v>
      </x:c>
      <x:c r="C33" s="8" t="str">
        <x:v>Red</x:v>
      </x:c>
      <x:c r="D33" s="8" t="str">
        <x:v>LS L29K-H1J2-1-Z</x:v>
      </x:c>
      <x:c r="E33" s="8" t="str">
        <x:v>OSRAM Opto Semiconductors Inc</x:v>
      </x:c>
      <x:c r="F33" s="8" t="str">
        <x:v>LED_0603</x:v>
      </x:c>
      <x:c r="G33" s="8" t="str">
        <x:v>LED SMARTLED RED 630NM 0603 SMD</x:v>
      </x:c>
      <x:c r="H33" s="1"/>
      <x:c r="I33" s="1"/>
      <x:c r="J33" s="1"/>
      <x:c r="K33" s="1"/>
    </x:row>
    <x:row r="34" ht="30" customHeight="1">
      <x:c r="A34" s="11" t="str">
        <x:v>D15</x:v>
      </x:c>
      <x:c r="B34" s="18" t="n">
        <x:v>1</x:v>
      </x:c>
      <x:c r="C34" s="11" t="str">
        <x:v>BAT54C-7-F</x:v>
      </x:c>
      <x:c r="D34" s="11" t="str">
        <x:v>BAT54C-7-F</x:v>
      </x:c>
      <x:c r="E34" s="11" t="str">
        <x:v>Diodes Inc</x:v>
      </x:c>
      <x:c r="F34" s="11" t="str">
        <x:v>SOT-23-3-123</x:v>
      </x:c>
      <x:c r="G34" s="11" t="str">
        <x:v>DIODE SCHOTTKY DUAL 30V SOT23-3</x:v>
      </x:c>
      <x:c r="H34" s="1"/>
      <x:c r="I34" s="1"/>
      <x:c r="J34" s="1"/>
      <x:c r="K34" s="1"/>
    </x:row>
    <x:row r="35" ht="30" customHeight="1">
      <x:c r="A35" s="8" t="str">
        <x:v>D16, D17, D20</x:v>
      </x:c>
      <x:c r="B35" s="19" t="n">
        <x:v>3</x:v>
      </x:c>
      <x:c r="C35" s="8" t="str">
        <x:v>B560C-13-F</x:v>
      </x:c>
      <x:c r="D35" s="8" t="str">
        <x:v>B560C-13-F</x:v>
      </x:c>
      <x:c r="E35" s="8" t="str">
        <x:v>Diodes Inc</x:v>
      </x:c>
      <x:c r="F35" s="8" t="str">
        <x:v>SMC</x:v>
      </x:c>
      <x:c r="G35" s="8" t="str">
        <x:v>DIODE SCHOTTKY 60V 5A SMC</x:v>
      </x:c>
      <x:c r="H35" s="1"/>
      <x:c r="I35" s="1"/>
      <x:c r="J35" s="1"/>
      <x:c r="K35" s="1"/>
    </x:row>
    <x:row r="36" ht="30" customHeight="1">
      <x:c r="A36" s="11" t="str">
        <x:v>D18</x:v>
      </x:c>
      <x:c r="B36" s="18" t="n">
        <x:v>1</x:v>
      </x:c>
      <x:c r="C36" s="11" t="str">
        <x:v>553-0121F</x:v>
      </x:c>
      <x:c r="D36" s="11" t="str">
        <x:v>553-0121F</x:v>
      </x:c>
      <x:c r="E36" s="11" t="str">
        <x:v>Dialight</x:v>
      </x:c>
      <x:c r="F36" s="11" t="str">
        <x:v>553-0121F</x:v>
      </x:c>
      <x:c r="G36" s="11" t="str">
        <x:v>LED 2HI 3MM GREEN OVER RED PCMNT</x:v>
      </x:c>
      <x:c r="H36" s="1"/>
      <x:c r="I36" s="1"/>
      <x:c r="J36" s="1"/>
      <x:c r="K36" s="1"/>
    </x:row>
    <x:row r="37" ht="30" customHeight="1">
      <x:c r="A37" s="8" t="str">
        <x:v>D19</x:v>
      </x:c>
      <x:c r="B37" s="19" t="n">
        <x:v>1</x:v>
      </x:c>
      <x:c r="C37" s="8" t="str">
        <x:v>PGB1010603MR</x:v>
      </x:c>
      <x:c r="D37" s="8" t="str">
        <x:v>PGB1010603MR</x:v>
      </x:c>
      <x:c r="E37" s="8" t="str">
        <x:v>Littelfuse Inc</x:v>
      </x:c>
      <x:c r="F37" s="8" t="str">
        <x:v>C0603</x:v>
      </x:c>
      <x:c r="G37" s="8" t="str">
        <x:v>SUPPRESSOR ESD 24VDC 0603 SMD</x:v>
      </x:c>
      <x:c r="H37" s="1"/>
      <x:c r="I37" s="1"/>
      <x:c r="J37" s="1"/>
      <x:c r="K37" s="1"/>
    </x:row>
    <x:row r="38" ht="36" customHeight="1">
      <x:c r="A38" s="11" t="str">
        <x:v>FB1, FB2, FB3, FB4, FB22</x:v>
      </x:c>
      <x:c r="B38" s="18" t="n">
        <x:v>5</x:v>
      </x:c>
      <x:c r="C38" s="11" t="str">
        <x:v>220R, 2.5A</x:v>
      </x:c>
      <x:c r="D38" s="11" t="str">
        <x:v>BLM18SG221TN1D</x:v>
      </x:c>
      <x:c r="E38" s="11" t="str">
        <x:v>Murata Electronics North America</x:v>
      </x:c>
      <x:c r="F38" s="11" t="str">
        <x:v>C0603</x:v>
      </x:c>
      <x:c r="G38" s="11" t="str">
        <x:v>FERRITE CHIP 220 OHM 2500MA 0603</x:v>
      </x:c>
      <x:c r="H38" s="1"/>
      <x:c r="I38" s="1"/>
      <x:c r="J38" s="1"/>
      <x:c r="K38" s="1"/>
    </x:row>
    <x:row r="39" ht="36" customHeight="1">
      <x:c r="A39" s="8" t="str">
        <x:v>FB5, FB8, FB9, FB14, FB15, FB16, FB17, FB18, FB24</x:v>
      </x:c>
      <x:c r="B39" s="19" t="n">
        <x:v>9</x:v>
      </x:c>
      <x:c r="C39" s="8" t="str">
        <x:v>BLM15AX601SN1D</x:v>
      </x:c>
      <x:c r="D39" s="8" t="str">
        <x:v>BLM15AX601SN1D</x:v>
      </x:c>
      <x:c r="E39" s="8" t="str">
        <x:v>Murata Electronics North America</x:v>
      </x:c>
      <x:c r="F39" s="8" t="str">
        <x:v>C0402</x:v>
      </x:c>
      <x:c r="G39" s="8" t="str">
        <x:v>FERRITE CHIP 600 OHM 0402</x:v>
      </x:c>
      <x:c r="H39" s="1"/>
      <x:c r="I39" s="1"/>
      <x:c r="J39" s="1"/>
      <x:c r="K39" s="1"/>
    </x:row>
    <x:row r="40" ht="36" customHeight="1">
      <x:c r="A40" s="11" t="str">
        <x:v>FB6, FB7, FB10, FB11, FB12, FB13, FB19, FB23, FB25, FB26</x:v>
      </x:c>
      <x:c r="B40" s="18" t="n">
        <x:v>10</x:v>
      </x:c>
      <x:c r="C40" s="11" t="str">
        <x:v>MPZ1608S601A 600OHM/1A</x:v>
      </x:c>
      <x:c r="D40" s="11" t="str">
        <x:v>MPZ1608S601A</x:v>
      </x:c>
      <x:c r="E40" s="11" t="str">
        <x:v>TDK Corporation</x:v>
      </x:c>
      <x:c r="F40" s="11" t="str">
        <x:v>C0603</x:v>
      </x:c>
      <x:c r="G40" s="11" t="str">
        <x:v>FERRITE CHIP BEAD 600 OHM SMD</x:v>
      </x:c>
      <x:c r="H40" s="1"/>
      <x:c r="I40" s="1"/>
      <x:c r="J40" s="1"/>
      <x:c r="K40" s="1"/>
    </x:row>
    <x:row r="41" ht="36" customHeight="1">
      <x:c r="A41" s="8" t="str">
        <x:v>FB20, FB21</x:v>
      </x:c>
      <x:c r="B41" s="19" t="n">
        <x:v>2</x:v>
      </x:c>
      <x:c r="C41" s="8" t="str">
        <x:v>4x 220R</x:v>
      </x:c>
      <x:c r="D41" s="8" t="str">
        <x:v>BLA2ABB221SN4D</x:v>
      </x:c>
      <x:c r="E41" s="8" t="str">
        <x:v>Murata Electronics North America</x:v>
      </x:c>
      <x:c r="F41" s="8" t="str">
        <x:v>4X0402_BLA2A_MURATA</x:v>
      </x:c>
      <x:c r="G41" s="8" t="str">
        <x:v>FERRITE ARRAY 220 OHM 0804 SMD</x:v>
      </x:c>
      <x:c r="H41" s="1"/>
      <x:c r="I41" s="1"/>
      <x:c r="J41" s="1"/>
      <x:c r="K41" s="1"/>
    </x:row>
    <x:row r="42" ht="30" customHeight="1">
      <x:c r="A42" s="11" t="str">
        <x:v>J1, J2</x:v>
      </x:c>
      <x:c r="B42" s="18" t="n">
        <x:v>2</x:v>
      </x:c>
      <x:c r="C42" s="11" t="str">
        <x:v>QTH-030-01-L-D-A</x:v>
      </x:c>
      <x:c r="D42" s="11" t="str">
        <x:v>QTH-030-01-L-D-A</x:v>
      </x:c>
      <x:c r="E42" s="11" t="str">
        <x:v>Samtec Inc</x:v>
      </x:c>
      <x:c r="F42" s="11" t="str">
        <x:v>QTH-030-01-L-D-A</x:v>
      </x:c>
      <x:c r="G42" s="11" t="str">
        <x:v>CONN HEADER HS .5MM 60POS DL AU</x:v>
      </x:c>
      <x:c r="H42" s="1"/>
      <x:c r="I42" s="1"/>
      <x:c r="J42" s="1"/>
      <x:c r="K42" s="1"/>
    </x:row>
    <x:row r="43" ht="30" customHeight="1">
      <x:c r="A43" s="8" t="str">
        <x:v>J3</x:v>
      </x:c>
      <x:c r="B43" s="19" t="n">
        <x:v>1</x:v>
      </x:c>
      <x:c r="C43" s="8" t="str">
        <x:v>10018783-10010TLF</x:v>
      </x:c>
      <x:c r="D43" s="8" t="str">
        <x:v>10018783-10010TLF</x:v>
      </x:c>
      <x:c r="E43" s="8" t="str">
        <x:v>FCI</x:v>
      </x:c>
      <x:c r="F43" s="8" t="str">
        <x:v>MINI_PCIE_36PIN</x:v>
      </x:c>
      <x:c r="G43" s="8" t="str">
        <x:v>CONN PCI EXPRESS 36POS VERT PCB</x:v>
      </x:c>
      <x:c r="H43" s="1"/>
      <x:c r="I43" s="1"/>
      <x:c r="J43" s="1"/>
      <x:c r="K43" s="1"/>
    </x:row>
    <x:row r="44" ht="36" customHeight="1">
      <x:c r="A44" s="11" t="str">
        <x:v>J4, J9</x:v>
      </x:c>
      <x:c r="B44" s="18" t="n">
        <x:v>2</x:v>
      </x:c>
      <x:c r="C44" s="11" t="str">
        <x:v>MM60-52B1-E1-R650</x:v>
      </x:c>
      <x:c r="D44" s="11" t="str">
        <x:v>MM60-52B1-E1-R650</x:v>
      </x:c>
      <x:c r="E44" s="11" t="str">
        <x:v>JAE Electronics</x:v>
      </x:c>
      <x:c r="F44" s="11" t="str">
        <x:v>MINI_PCIE_52PIN_CARD_CON</x:v>
      </x:c>
      <x:c r="G44" s="11" t="str">
        <x:v>CONN MINI EXPRESS CARD 52POS SMD</x:v>
      </x:c>
      <x:c r="H44" s="1"/>
      <x:c r="I44" s="1"/>
      <x:c r="J44" s="1"/>
      <x:c r="K44" s="1"/>
    </x:row>
    <x:row r="45" ht="30" customHeight="1">
      <x:c r="A45" s="8" t="str">
        <x:v>J5, J7</x:v>
      </x:c>
      <x:c r="B45" s="19" t="n">
        <x:v>2</x:v>
      </x:c>
      <x:c r="C45" s="8" t="str">
        <x:v>0475531001</x:v>
      </x:c>
      <x:c r="D45" s="8" t="str">
        <x:v>0475531001</x:v>
      </x:c>
      <x:c r="E45" s="8" t="str">
        <x:v>Molex Inc</x:v>
      </x:c>
      <x:c r="F45" s="8" t="str">
        <x:v>SIM_CARD_PUSH</x:v>
      </x:c>
      <x:c r="G45" s="8" t="str">
        <x:v>CONN CARD HOLDER SIM 6POS SMD</x:v>
      </x:c>
      <x:c r="H45" s="1"/>
      <x:c r="I45" s="1"/>
      <x:c r="J45" s="1"/>
      <x:c r="K45" s="1"/>
    </x:row>
    <x:row r="46" ht="36" customHeight="1">
      <x:c r="A46" s="11" t="str">
        <x:v>J6, J8</x:v>
      </x:c>
      <x:c r="B46" s="18" t="n">
        <x:v>2</x:v>
      </x:c>
      <x:c r="C46" s="11" t="str">
        <x:v>MM60-EZH059-B5-R650</x:v>
      </x:c>
      <x:c r="D46" s="11" t="str">
        <x:v>MM60-EZH059-B5-R650</x:v>
      </x:c>
      <x:c r="E46" s="11" t="str">
        <x:v>JAE Electronics</x:v>
      </x:c>
      <x:c r="F46" s="11" t="str">
        <x:v>MINI_PCIE_52PIN_CARD_LATCH</x:v>
      </x:c>
      <x:c r="G46" s="11" t="str">
        <x:v>CONN MINI EXPRESS CARD LATCH SMD</x:v>
      </x:c>
      <x:c r="H46" s="1"/>
      <x:c r="I46" s="1"/>
      <x:c r="J46" s="1"/>
      <x:c r="K46" s="1"/>
    </x:row>
    <x:row r="47" ht="30" customHeight="1">
      <x:c r="A47" s="8" t="str">
        <x:v>J10, J11, J12</x:v>
      </x:c>
      <x:c r="B47" s="19" t="n">
        <x:v>3</x:v>
      </x:c>
      <x:c r="C47" s="8" t="str">
        <x:v>76384-302LF</x:v>
      </x:c>
      <x:c r="D47" s="8" t="str">
        <x:v>76384-302LF</x:v>
      </x:c>
      <x:c r="E47" s="8" t="str">
        <x:v>FCI</x:v>
      </x:c>
      <x:c r="F47" s="8" t="str">
        <x:v>HDR_1X2_2.54MM_SHDR</x:v>
      </x:c>
      <x:c r="G47" s="8" t="str">
        <x:v>CONN HEADER 2POS .100" STR GOLD</x:v>
      </x:c>
      <x:c r="H47" s="1"/>
      <x:c r="I47" s="1"/>
      <x:c r="J47" s="1"/>
      <x:c r="K47" s="1"/>
    </x:row>
    <x:row r="48" ht="30" customHeight="1">
      <x:c r="A48" s="11" t="str">
        <x:v>J13</x:v>
      </x:c>
      <x:c r="B48" s="18" t="n">
        <x:v>1</x:v>
      </x:c>
      <x:c r="C48" s="11" t="str">
        <x:v>76384-303LF</x:v>
      </x:c>
      <x:c r="D48" s="11" t="str">
        <x:v>76384-303LF</x:v>
      </x:c>
      <x:c r="E48" s="11" t="str">
        <x:v>FCI</x:v>
      </x:c>
      <x:c r="F48" s="11" t="str">
        <x:v>HDR_1X3_2.54MM_SHDR_V2</x:v>
      </x:c>
      <x:c r="G48" s="11" t="str">
        <x:v>CONN HEADER 3POS .100" STR GOLD</x:v>
      </x:c>
      <x:c r="H48" s="1"/>
      <x:c r="I48" s="1"/>
      <x:c r="J48" s="1"/>
      <x:c r="K48" s="1"/>
    </x:row>
    <x:row r="49" ht="30" customHeight="1">
      <x:c r="A49" s="8" t="str">
        <x:v>J14</x:v>
      </x:c>
      <x:c r="B49" s="19" t="n">
        <x:v>1</x:v>
      </x:c>
      <x:c r="C49" s="8" t="str">
        <x:v>0471554001</x:v>
      </x:c>
      <x:c r="D49" s="8" t="str">
        <x:v>0471554001</x:v>
      </x:c>
      <x:c r="E49" s="8" t="str">
        <x:v>Molex Inc</x:v>
      </x:c>
      <x:c r="F49" s="8" t="str">
        <x:v>SATA_VERTICAL</x:v>
      </x:c>
      <x:c r="G49" s="8" t="str">
        <x:v>CONN SATA HDR 7POS PCB VERT</x:v>
      </x:c>
      <x:c r="H49" s="1"/>
      <x:c r="I49" s="1"/>
      <x:c r="J49" s="1"/>
      <x:c r="K49" s="1"/>
    </x:row>
    <x:row r="50" ht="30" customHeight="1">
      <x:c r="A50" s="11" t="str">
        <x:v>J15</x:v>
      </x:c>
      <x:c r="B50" s="18" t="n">
        <x:v>1</x:v>
      </x:c>
      <x:c r="C50" s="11" t="str">
        <x:v>N7G24-A0B2RB-10-0HT</x:v>
      </x:c>
      <x:c r="D50" s="11" t="str">
        <x:v>N7G24-A0B2RB-10-0HT</x:v>
      </x:c>
      <x:c r="E50" s="11" t="str">
        <x:v>3M</x:v>
      </x:c>
      <x:c r="F50" s="11" t="str">
        <x:v>CFAST10</x:v>
      </x:c>
      <x:c r="G50" s="11" t="str">
        <x:v>CFAST HEADER STANDOFF SMD R/A</x:v>
      </x:c>
      <x:c r="H50" s="1"/>
      <x:c r="I50" s="1"/>
      <x:c r="J50" s="1"/>
      <x:c r="K50" s="1"/>
    </x:row>
    <x:row r="51" ht="36" customHeight="1">
      <x:c r="A51" s="8" t="str">
        <x:v>J16</x:v>
      </x:c>
      <x:c r="B51" s="19" t="n">
        <x:v>1</x:v>
      </x:c>
      <x:c r="C51" s="8" t="str">
        <x:v>47151-0001</x:v>
      </x:c>
      <x:c r="D51" s="8" t="str">
        <x:v>47151-0001</x:v>
      </x:c>
      <x:c r="E51" s="8" t="str">
        <x:v>Molex Connector Corporation</x:v>
      </x:c>
      <x:c r="F51" s="8" t="str">
        <x:v>HDMI</x:v>
      </x:c>
      <x:c r="G51" s="8" t="str">
        <x:v>CONN RCPT 19POS HDMI RT ANG SMD</x:v>
      </x:c>
      <x:c r="H51" s="1"/>
      <x:c r="I51" s="1"/>
      <x:c r="J51" s="1"/>
      <x:c r="K51" s="1"/>
    </x:row>
    <x:row r="52" ht="30" customHeight="1">
      <x:c r="A52" s="11" t="str">
        <x:v>J17, J18</x:v>
      </x:c>
      <x:c r="B52" s="18" t="n">
        <x:v>2</x:v>
      </x:c>
      <x:c r="C52" s="11" t="str">
        <x:v>HDR 1x3</x:v>
      </x:c>
      <x:c r="D52" s="11" t="str">
        <x:v>68000-103HLF</x:v>
      </x:c>
      <x:c r="E52" s="11" t="str">
        <x:v>FCI</x:v>
      </x:c>
      <x:c r="F52" s="11" t="str">
        <x:v>HDR_1X3_2.54MM</x:v>
      </x:c>
      <x:c r="G52" s="11" t="str">
        <x:v>BERGSTIK II .100" SR STRAIGHT</x:v>
      </x:c>
      <x:c r="H52" s="1"/>
      <x:c r="I52" s="1"/>
      <x:c r="J52" s="1"/>
      <x:c r="K52" s="1"/>
    </x:row>
    <x:row r="53" ht="30" customHeight="1">
      <x:c r="A53" s="8" t="str">
        <x:v>J19</x:v>
      </x:c>
      <x:c r="B53" s="19" t="n">
        <x:v>1</x:v>
      </x:c>
      <x:c r="C53" s="8" t="str">
        <x:v>HDR 2X3, BOXED</x:v>
      </x:c>
      <x:c r="D53" s="8" t="str">
        <x:v>30306-6002HB</x:v>
      </x:c>
      <x:c r="E53" s="8" t="str">
        <x:v>3M</x:v>
      </x:c>
      <x:c r="F53" s="8" t="str">
        <x:v>HDR_2X3_2.54MM_BOXED</x:v>
      </x:c>
      <x:c r="G53" s="8" t="str">
        <x:v>CONN HEADER 6POS DL STR GOLD</x:v>
      </x:c>
      <x:c r="H53" s="1"/>
      <x:c r="I53" s="1"/>
      <x:c r="J53" s="1"/>
      <x:c r="K53" s="1"/>
    </x:row>
    <x:row r="54" ht="30" customHeight="1">
      <x:c r="A54" s="11" t="str">
        <x:v>J20, J23</x:v>
      </x:c>
      <x:c r="B54" s="18" t="n">
        <x:v>2</x:v>
      </x:c>
      <x:c r="C54" s="11" t="str">
        <x:v>76384-304LF</x:v>
      </x:c>
      <x:c r="D54" s="11" t="str">
        <x:v>76384-304LF</x:v>
      </x:c>
      <x:c r="E54" s="11" t="str">
        <x:v>FCI</x:v>
      </x:c>
      <x:c r="F54" s="11" t="str">
        <x:v>HDR_1X4_2.54MM_SHDR</x:v>
      </x:c>
      <x:c r="G54" s="11" t="str">
        <x:v>CONN HEADER 4POS .100" STR GOLD</x:v>
      </x:c>
      <x:c r="H54" s="1"/>
      <x:c r="I54" s="1"/>
      <x:c r="J54" s="1"/>
      <x:c r="K54" s="1"/>
    </x:row>
    <x:row r="55" ht="30" customHeight="1">
      <x:c r="A55" s="8" t="str">
        <x:v>J21</x:v>
      </x:c>
      <x:c r="B55" s="19" t="n">
        <x:v>1</x:v>
      </x:c>
      <x:c r="C55" s="8" t="str">
        <x:v>USB MICRO AB</x:v>
      </x:c>
      <x:c r="D55" s="8" t="str">
        <x:v>0475890001</x:v>
      </x:c>
      <x:c r="E55" s="8" t="str">
        <x:v>Molex Inc</x:v>
      </x:c>
      <x:c r="F55" s="8" t="str">
        <x:v>USB_MICRO_AB</x:v>
      </x:c>
      <x:c r="G55" s="8" t="str">
        <x:v>CONN RCPT MICRO USB AB R/A SMD</x:v>
      </x:c>
      <x:c r="H55" s="1"/>
      <x:c r="I55" s="1"/>
      <x:c r="J55" s="1"/>
      <x:c r="K55" s="1"/>
    </x:row>
    <x:row r="56" ht="30" customHeight="1">
      <x:c r="A56" s="11" t="str">
        <x:v>J22</x:v>
      </x:c>
      <x:c r="B56" s="18" t="n">
        <x:v>1</x:v>
      </x:c>
      <x:c r="C56" s="11" t="str">
        <x:v>5787617-1</x:v>
      </x:c>
      <x:c r="D56" s="11" t="str">
        <x:v>5787617-1</x:v>
      </x:c>
      <x:c r="E56" s="11" t="str">
        <x:v>TE Connectivity</x:v>
      </x:c>
      <x:c r="F56" s="11" t="str">
        <x:v>USB-2A</x:v>
      </x:c>
      <x:c r="G56" s="11" t="str">
        <x:v>CONN RCPT R/A 4OVER4POS GOLD PCB</x:v>
      </x:c>
      <x:c r="H56" s="1"/>
      <x:c r="I56" s="1"/>
      <x:c r="J56" s="1"/>
      <x:c r="K56" s="1"/>
    </x:row>
    <x:row r="57" ht="30" customHeight="1">
      <x:c r="A57" s="8" t="str">
        <x:v>J24</x:v>
      </x:c>
      <x:c r="B57" s="19" t="n">
        <x:v>1</x:v>
      </x:c>
      <x:c r="C57" s="8" t="str">
        <x:v>2-406549-1</x:v>
      </x:c>
      <x:c r="D57" s="8" t="str">
        <x:v>2-406549-1</x:v>
      </x:c>
      <x:c r="E57" s="8" t="str">
        <x:v>Tyco</x:v>
      </x:c>
      <x:c r="F57" s="8" t="str">
        <x:v>RJ45LED</x:v>
      </x:c>
      <x:c r="G57" s="8" t="str">
        <x:v>CONN MOD JACK 8POS R/A Y-G PCB</x:v>
      </x:c>
      <x:c r="H57" s="1"/>
      <x:c r="I57" s="1"/>
      <x:c r="J57" s="1"/>
      <x:c r="K57" s="1"/>
    </x:row>
    <x:row r="58" ht="30" customHeight="1">
      <x:c r="A58" s="11" t="str">
        <x:v>J25</x:v>
      </x:c>
      <x:c r="B58" s="18" t="n">
        <x:v>1</x:v>
      </x:c>
      <x:c r="C58" s="11" t="str">
        <x:v>SJ1-3535NG</x:v>
      </x:c>
      <x:c r="D58" s="11" t="str">
        <x:v>SJ1-3535NG</x:v>
      </x:c>
      <x:c r="E58" s="11" t="str">
        <x:v>CUI Inc</x:v>
      </x:c>
      <x:c r="F58" s="11" t="str">
        <x:v>SJ1-3535NG</x:v>
      </x:c>
      <x:c r="G58" s="11" t="str">
        <x:v>CONN JACK STEREO R/A 5PIN 3.5MM</x:v>
      </x:c>
      <x:c r="H58" s="1"/>
      <x:c r="I58" s="1"/>
      <x:c r="J58" s="1"/>
      <x:c r="K58" s="1"/>
    </x:row>
    <x:row r="59" ht="30" customHeight="1">
      <x:c r="A59" s="8" t="str">
        <x:v>J26</x:v>
      </x:c>
      <x:c r="B59" s="19" t="n">
        <x:v>1</x:v>
      </x:c>
      <x:c r="C59" s="8" t="str">
        <x:v>SJ1-3535NG-BE</x:v>
      </x:c>
      <x:c r="D59" s="8" t="str">
        <x:v>SJ1-3535NG-BE</x:v>
      </x:c>
      <x:c r="E59" s="8" t="str">
        <x:v>CUI Inc</x:v>
      </x:c>
      <x:c r="F59" s="8" t="str">
        <x:v>SJ1-3535NG</x:v>
      </x:c>
      <x:c r="G59" s="8" t="str">
        <x:v>CONN JACK STEREO 5POS 3.5MM PCB</x:v>
      </x:c>
      <x:c r="H59" s="1"/>
      <x:c r="I59" s="1"/>
      <x:c r="J59" s="1"/>
      <x:c r="K59" s="1"/>
    </x:row>
    <x:row r="60" ht="30" customHeight="1">
      <x:c r="A60" s="11" t="str">
        <x:v>J27</x:v>
      </x:c>
      <x:c r="B60" s="18" t="n">
        <x:v>1</x:v>
      </x:c>
      <x:c r="C60" s="11" t="str">
        <x:v>SJ1-3535NG-GR</x:v>
      </x:c>
      <x:c r="D60" s="11" t="str">
        <x:v>SJ1-3535NG-GR</x:v>
      </x:c>
      <x:c r="E60" s="11" t="str">
        <x:v>CUI Inc</x:v>
      </x:c>
      <x:c r="F60" s="11" t="str">
        <x:v>SJ1-3535NG</x:v>
      </x:c>
      <x:c r="G60" s="11" t="str">
        <x:v>CONN JACK STEREO 5POS 3.5MM PCB</x:v>
      </x:c>
      <x:c r="H60" s="1"/>
      <x:c r="I60" s="1"/>
      <x:c r="J60" s="1"/>
      <x:c r="K60" s="1"/>
    </x:row>
    <x:row r="61" ht="30" customHeight="1">
      <x:c r="A61" s="8" t="str">
        <x:v>J28</x:v>
      </x:c>
      <x:c r="B61" s="19" t="n">
        <x:v>1</x:v>
      </x:c>
      <x:c r="C61" s="8" t="str">
        <x:v>SJ1-3535NG-PI</x:v>
      </x:c>
      <x:c r="D61" s="8" t="str">
        <x:v>SJ1-3535NG-PI</x:v>
      </x:c>
      <x:c r="E61" s="8" t="str">
        <x:v>CUI Inc</x:v>
      </x:c>
      <x:c r="F61" s="8" t="str">
        <x:v>SJ1-3535NG</x:v>
      </x:c>
      <x:c r="G61" s="8" t="str">
        <x:v>CONN JACK STEREO 5POS 3.5MM PCB</x:v>
      </x:c>
      <x:c r="H61" s="1"/>
      <x:c r="I61" s="1"/>
      <x:c r="J61" s="1"/>
      <x:c r="K61" s="1"/>
    </x:row>
    <x:row r="62" ht="30" customHeight="1">
      <x:c r="A62" s="11" t="str">
        <x:v>J29</x:v>
      </x:c>
      <x:c r="B62" s="18" t="n">
        <x:v>1</x:v>
      </x:c>
      <x:c r="C62" s="11" t="str">
        <x:v>DM3AT-SF-PEJM5</x:v>
      </x:c>
      <x:c r="D62" s="11" t="str">
        <x:v>DM3AT-SF-PEJM5</x:v>
      </x:c>
      <x:c r="E62" s="11" t="str">
        <x:v>Hirose Electric Co Ltd</x:v>
      </x:c>
      <x:c r="F62" s="11" t="str">
        <x:v>USD_DM3AT</x:v>
      </x:c>
      <x:c r="G62" s="11" t="str">
        <x:v>CONN MICRO SD R/A PUSH-PUSH SMD</x:v>
      </x:c>
      <x:c r="H62" s="1"/>
      <x:c r="I62" s="1"/>
      <x:c r="J62" s="1"/>
      <x:c r="K62" s="1"/>
    </x:row>
    <x:row r="63" ht="30" customHeight="1">
      <x:c r="A63" s="8" t="str">
        <x:v>J30</x:v>
      </x:c>
      <x:c r="B63" s="19" t="n">
        <x:v>1</x:v>
      </x:c>
      <x:c r="C63" s="8" t="str">
        <x:v>1734351-1</x:v>
      </x:c>
      <x:c r="D63" s="8" t="str">
        <x:v>1734351-1</x:v>
      </x:c>
      <x:c r="E63" s="8" t="str">
        <x:v>TE Connectivity</x:v>
      </x:c>
      <x:c r="F63" s="8" t="str">
        <x:v>DBA9_M_RA</x:v>
      </x:c>
      <x:c r="G63" s="8" t="str">
        <x:v>CONN D-SUB PLUG R/A 9POS GOLD/FL</x:v>
      </x:c>
      <x:c r="H63" s="1"/>
      <x:c r="I63" s="1"/>
      <x:c r="J63" s="1"/>
      <x:c r="K63" s="1"/>
    </x:row>
    <x:row r="64" ht="30" customHeight="1">
      <x:c r="A64" s="11" t="str">
        <x:v>J31, J34</x:v>
      </x:c>
      <x:c r="B64" s="18" t="n">
        <x:v>2</x:v>
      </x:c>
      <x:c r="C64" s="11" t="str">
        <x:v>HDR 2x5, BOXED</x:v>
      </x:c>
      <x:c r="D64" s="11" t="str">
        <x:v>D2510-6002-AR</x:v>
      </x:c>
      <x:c r="E64" s="11" t="str">
        <x:v>3M</x:v>
      </x:c>
      <x:c r="F64" s="11" t="str">
        <x:v>HDR_2X5_2.54MM_BOXED</x:v>
      </x:c>
      <x:c r="G64" s="11" t="str">
        <x:v>CONN HEADER 10POS VERT 10GOLD</x:v>
      </x:c>
      <x:c r="H64" s="1"/>
      <x:c r="I64" s="1"/>
      <x:c r="J64" s="1"/>
      <x:c r="K64" s="1"/>
    </x:row>
    <x:row r="65" ht="36" customHeight="1">
      <x:c r="A65" s="8" t="str">
        <x:v>J32</x:v>
      </x:c>
      <x:c r="B65" s="19" t="n">
        <x:v>1</x:v>
      </x:c>
      <x:c r="C65" s="8" t="str">
        <x:v>BA2032</x:v>
      </x:c>
      <x:c r="D65" s="8" t="str">
        <x:v>BA2032</x:v>
      </x:c>
      <x:c r="E65" s="8" t="str">
        <x:v>MPD (Memory Protection Devices)</x:v>
      </x:c>
      <x:c r="F65" s="8" t="str">
        <x:v>BA2032</x:v>
      </x:c>
      <x:c r="G65" s="8" t="str">
        <x:v>HOLDER COIN CELL CR2032 EJECT</x:v>
      </x:c>
      <x:c r="H65" s="1"/>
      <x:c r="I65" s="1"/>
      <x:c r="J65" s="1"/>
      <x:c r="K65" s="1"/>
    </x:row>
    <x:row r="66" ht="30" customHeight="1">
      <x:c r="A66" s="11" t="str">
        <x:v>J33</x:v>
      </x:c>
      <x:c r="B66" s="18" t="n">
        <x:v>1</x:v>
      </x:c>
      <x:c r="C66" s="11" t="str">
        <x:v>HDR 2x7, BOXED</x:v>
      </x:c>
      <x:c r="D66" s="11" t="str">
        <x:v>D2514-6002-AR</x:v>
      </x:c>
      <x:c r="E66" s="11" t="str">
        <x:v>3M</x:v>
      </x:c>
      <x:c r="F66" s="11" t="str">
        <x:v>HDR_2X7_2.54MM_BOXED</x:v>
      </x:c>
      <x:c r="G66" s="11" t="str">
        <x:v>CONN HEADER 14POS VERT 10GOLD</x:v>
      </x:c>
      <x:c r="H66" s="1"/>
      <x:c r="I66" s="1"/>
      <x:c r="J66" s="1"/>
      <x:c r="K66" s="1"/>
    </x:row>
    <x:row r="67" ht="30" customHeight="1">
      <x:c r="A67" s="8" t="str">
        <x:v>J35</x:v>
      </x:c>
      <x:c r="B67" s="19" t="n">
        <x:v>1</x:v>
      </x:c>
      <x:c r="C67" s="8" t="str">
        <x:v>Hdr 4x2mm BOXED</x:v>
      </x:c>
      <x:c r="D67" s="8" t="str">
        <x:v>0532530470</x:v>
      </x:c>
      <x:c r="E67" s="8" t="str">
        <x:v>Molex Inc</x:v>
      </x:c>
      <x:c r="F67" s="8" t="str">
        <x:v>HDR_1X4_2MM_SHDR</x:v>
      </x:c>
      <x:c r="G67" s="8" t="str">
        <x:v>CONN HEADER 4POS 2MM VERT TIN</x:v>
      </x:c>
      <x:c r="H67" s="1"/>
      <x:c r="I67" s="1"/>
      <x:c r="J67" s="1"/>
      <x:c r="K67" s="1"/>
    </x:row>
    <x:row r="68" ht="30" customHeight="1">
      <x:c r="A68" s="11" t="str">
        <x:v>J36</x:v>
      </x:c>
      <x:c r="B68" s="18" t="n">
        <x:v>1</x:v>
      </x:c>
      <x:c r="C68" s="11" t="str">
        <x:v>5103308-5</x:v>
      </x:c>
      <x:c r="D68" s="11" t="str">
        <x:v>5103308-5</x:v>
      </x:c>
      <x:c r="E68" s="11" t="str">
        <x:v>TE Connectivity</x:v>
      </x:c>
      <x:c r="F68" s="11" t="str">
        <x:v>HDR_2x10_2.54mm_BOXED</x:v>
      </x:c>
      <x:c r="G68" s="11" t="str">
        <x:v>CONN HEADER LOPRO STR 20POS GOLD</x:v>
      </x:c>
      <x:c r="H68" s="1"/>
      <x:c r="I68" s="1"/>
      <x:c r="J68" s="1"/>
      <x:c r="K68" s="1"/>
    </x:row>
    <x:row r="69" ht="36" customHeight="1">
      <x:c r="A69" s="8" t="str">
        <x:v>J37</x:v>
      </x:c>
      <x:c r="B69" s="19" t="n">
        <x:v>1</x:v>
      </x:c>
      <x:c r="C69" s="8" t="str">
        <x:v>PJ-002AH</x:v>
      </x:c>
      <x:c r="D69" s="8" t="str">
        <x:v>PJ-002AH</x:v>
      </x:c>
      <x:c r="E69" s="8" t="str">
        <x:v>CUI Inc</x:v>
      </x:c>
      <x:c r="F69" s="8" t="str">
        <x:v>POWER_JACK_5.5_2.1MM_NS</x:v>
      </x:c>
      <x:c r="G69" s="8" t="str">
        <x:v>CONN PWR JACK 2.1X5.5MM HIGH CUR</x:v>
      </x:c>
      <x:c r="H69" s="1"/>
      <x:c r="I69" s="1"/>
      <x:c r="J69" s="1"/>
      <x:c r="K69" s="1"/>
    </x:row>
    <x:row r="70" ht="30" customHeight="1">
      <x:c r="A70" s="11" t="str">
        <x:v>J38</x:v>
      </x:c>
      <x:c r="B70" s="18" t="n">
        <x:v>1</x:v>
      </x:c>
      <x:c r="C70" s="11" t="str">
        <x:v>0015244449</x:v>
      </x:c>
      <x:c r="D70" s="11" t="str">
        <x:v>0015244449</x:v>
      </x:c>
      <x:c r="E70" s="11" t="str">
        <x:v>Molex Inc</x:v>
      </x:c>
      <x:c r="F70" s="11" t="str">
        <x:v>015244449</x:v>
      </x:c>
      <x:c r="G70" s="11" t="str">
        <x:v>CONN HEADER 4POS .200 VERT</x:v>
      </x:c>
      <x:c r="H70" s="1"/>
      <x:c r="I70" s="1"/>
      <x:c r="J70" s="1"/>
      <x:c r="K70" s="1"/>
    </x:row>
    <x:row r="71" ht="30" customHeight="1">
      <x:c r="A71" s="8" t="str">
        <x:v>J39</x:v>
      </x:c>
      <x:c r="B71" s="19" t="n">
        <x:v>1</x:v>
      </x:c>
      <x:c r="C71" s="8" t="str">
        <x:v>DM3C-SF</x:v>
      </x:c>
      <x:c r="D71" s="8" t="str">
        <x:v>DM3C-SF</x:v>
      </x:c>
      <x:c r="E71" s="8" t="str">
        <x:v>Hirose Electric Co Ltd</x:v>
      </x:c>
      <x:c r="F71" s="8" t="str">
        <x:v>USD_DM3CS</x:v>
      </x:c>
      <x:c r="G71" s="8" t="str">
        <x:v>CONN MICRO SD R/A HING TYPE SMD</x:v>
      </x:c>
      <x:c r="H71" s="1"/>
      <x:c r="I71" s="1"/>
      <x:c r="J71" s="1"/>
      <x:c r="K71" s="1"/>
    </x:row>
    <x:row r="72" ht="30" customHeight="1">
      <x:c r="A72" s="11" t="str">
        <x:v>J40</x:v>
      </x:c>
      <x:c r="B72" s="18" t="n">
        <x:v>1</x:v>
      </x:c>
      <x:c r="C72" s="11" t="str">
        <x:v>0532610471</x:v>
      </x:c>
      <x:c r="D72" s="11" t="str">
        <x:v>0532610471</x:v>
      </x:c>
      <x:c r="E72" s="11" t="str">
        <x:v>Molex Inc</x:v>
      </x:c>
      <x:c r="F72" s="11" t="str">
        <x:v>0532610471</x:v>
      </x:c>
      <x:c r="G72" s="11" t="str">
        <x:v>CONN HEADER 4POS 1.25MM R/A SMD</x:v>
      </x:c>
      <x:c r="H72" s="1"/>
      <x:c r="I72" s="1"/>
      <x:c r="J72" s="1"/>
      <x:c r="K72" s="1"/>
    </x:row>
    <x:row r="73" ht="30" customHeight="1">
      <x:c r="A73" s="8" t="str">
        <x:v>J41</x:v>
      </x:c>
      <x:c r="B73" s="19" t="n">
        <x:v>1</x:v>
      </x:c>
      <x:c r="C73" s="8" t="str">
        <x:v>FI-SE20P-HFE</x:v>
      </x:c>
      <x:c r="D73" s="8" t="str">
        <x:v>FI-SE20P-HFE</x:v>
      </x:c>
      <x:c r="E73" s="8" t="str">
        <x:v>JAE Electronics</x:v>
      </x:c>
      <x:c r="F73" s="8" t="str">
        <x:v>FI-SE20P-HFE</x:v>
      </x:c>
      <x:c r="G73" s="8" t="str">
        <x:v>CONN RCPT 1.25MM 20POS SMD R/A</x:v>
      </x:c>
      <x:c r="H73" s="1"/>
      <x:c r="I73" s="1"/>
      <x:c r="J73" s="1"/>
      <x:c r="K73" s="1"/>
    </x:row>
    <x:row r="74" ht="30" customHeight="1">
      <x:c r="A74" s="11" t="str">
        <x:v>JP1, JP2, JP3</x:v>
      </x:c>
      <x:c r="B74" s="18" t="n">
        <x:v>3</x:v>
      </x:c>
      <x:c r="C74" s="11" t="str">
        <x:v>HDR 1x2</x:v>
      </x:c>
      <x:c r="D74" s="11" t="str">
        <x:v>68001-202HLF</x:v>
      </x:c>
      <x:c r="E74" s="11" t="str">
        <x:v>FCI</x:v>
      </x:c>
      <x:c r="F74" s="11" t="str">
        <x:v>HDR_1X2_2.54MM</x:v>
      </x:c>
      <x:c r="G74" s="11" t="str">
        <x:v>BERGSTIK II .100" SR STRAIGHT</x:v>
      </x:c>
      <x:c r="H74" s="1"/>
      <x:c r="I74" s="1"/>
      <x:c r="J74" s="1"/>
      <x:c r="K74" s="1"/>
    </x:row>
    <x:row r="75" ht="30" customHeight="1">
      <x:c r="A75" s="8" t="str">
        <x:v>L1, L2, L3, L4, L5, L6, L7</x:v>
      </x:c>
      <x:c r="B75" s="19" t="n">
        <x:v>7</x:v>
      </x:c>
      <x:c r="C75" s="8" t="str">
        <x:v>ACM2012-900-2P-T002</x:v>
      </x:c>
      <x:c r="D75" s="8" t="str">
        <x:v>ACM2012-900-2P-T002</x:v>
      </x:c>
      <x:c r="E75" s="8" t="str">
        <x:v>TDK Corporation</x:v>
      </x:c>
      <x:c r="F75" s="8" t="str">
        <x:v>ACM2012</x:v>
      </x:c>
      <x:c r="G75" s="8" t="str">
        <x:v>CHOKE COMM MODE 90 OHM .4A SMD</x:v>
      </x:c>
      <x:c r="H75" s="1"/>
      <x:c r="I75" s="1"/>
      <x:c r="J75" s="1"/>
      <x:c r="K75" s="1"/>
    </x:row>
    <x:row r="76" ht="30" customHeight="1">
      <x:c r="A76" s="11" t="str">
        <x:v>L8, L9</x:v>
      </x:c>
      <x:c r="B76" s="18" t="n">
        <x:v>2</x:v>
      </x:c>
      <x:c r="C76" s="11" t="str">
        <x:v>4µ7</x:v>
      </x:c>
      <x:c r="D76" s="11" t="str">
        <x:v>IHLP2525CZER4R7M01</x:v>
      </x:c>
      <x:c r="E76" s="11" t="str">
        <x:v>Vishay/Dale</x:v>
      </x:c>
      <x:c r="F76" s="11" t="str">
        <x:v>IHLP_255MILX270MIL</x:v>
      </x:c>
      <x:c r="G76" s="11" t="str">
        <x:v>INDUCTOR POWER 4.7UH 5.5A SMD</x:v>
      </x:c>
      <x:c r="H76" s="1"/>
      <x:c r="I76" s="1"/>
      <x:c r="J76" s="1"/>
      <x:c r="K76" s="1"/>
    </x:row>
    <x:row r="77" ht="30" customHeight="1">
      <x:c r="A77" s="8" t="str">
        <x:v>Q1, Q4, Q5, Q6, Q7, Q8, Q9</x:v>
      </x:c>
      <x:c r="B77" s="19" t="n">
        <x:v>7</x:v>
      </x:c>
      <x:c r="C77" s="8" t="str">
        <x:v>2N7002BKW,115</x:v>
      </x:c>
      <x:c r="D77" s="8" t="str">
        <x:v>2N7002BKW,115</x:v>
      </x:c>
      <x:c r="E77" s="8" t="str">
        <x:v>NXP Semiconductors</x:v>
      </x:c>
      <x:c r="F77" s="8" t="str">
        <x:v>SC70_SOT323</x:v>
      </x:c>
      <x:c r="G77" s="8" t="str">
        <x:v>MOSFET N-CH 60V 310MA SOT323</x:v>
      </x:c>
      <x:c r="H77" s="1"/>
      <x:c r="I77" s="1"/>
      <x:c r="J77" s="1"/>
      <x:c r="K77" s="1"/>
    </x:row>
    <x:row r="78" ht="30" customHeight="1">
      <x:c r="A78" s="11" t="str">
        <x:v>Q2, Q3</x:v>
      </x:c>
      <x:c r="B78" s="18" t="n">
        <x:v>2</x:v>
      </x:c>
      <x:c r="C78" s="11" t="str">
        <x:v>SI4816BDY-T1-GE3</x:v>
      </x:c>
      <x:c r="D78" s="11" t="str">
        <x:v>SI4816BDY-T1-GE3</x:v>
      </x:c>
      <x:c r="E78" s="11" t="str">
        <x:v>Vishay/Siliconix</x:v>
      </x:c>
      <x:c r="F78" s="11" t="str">
        <x:v>8_SOIC_3.9MM</x:v>
      </x:c>
      <x:c r="G78" s="11" t="str">
        <x:v>MOSFET DL N-CH 30V 6.8A 8-SOIC</x:v>
      </x:c>
      <x:c r="H78" s="1"/>
      <x:c r="I78" s="1"/>
      <x:c r="J78" s="1"/>
      <x:c r="K78" s="1"/>
    </x:row>
    <x:row r="79" ht="127" customHeight="1">
      <x:c r="A79" s="8" t="str">
        <x:v>R1, R2, R3, R4, R5, R6, R7, R8, R9, R10, R11, R12, R13, R14, R16, R24, R32, R34, R36, R37, R38, R39, R40, R41, R42, R43, R46, R56, R62, R63, R64, R65, R66, R67, R68, R69, R88, R89, R104, R105, R106, R112, R113, R120, R123, R124, R128, R129, R130, R133, R137, R138, R143, R153, R155, R156, R159, R162, R163, R164, R169, R170, R173, R174, R184</x:v>
      </x:c>
      <x:c r="B79" s="19" t="n">
        <x:v>65</x:v>
      </x:c>
      <x:c r="C79" s="8" t="str">
        <x:v>0R</x:v>
      </x:c>
      <x:c r="D79" s="8" t="str">
        <x:v>RC0402JR-070RL</x:v>
      </x:c>
      <x:c r="E79" s="8" t="str">
        <x:v>Yageo</x:v>
      </x:c>
      <x:c r="F79" s="8" t="str">
        <x:v>R0402</x:v>
      </x:c>
      <x:c r="G79" s="8" t="str">
        <x:v>RES 0.0 OHM 1/16W 0402 SMD</x:v>
      </x:c>
      <x:c r="H79" s="1"/>
      <x:c r="I79" s="1"/>
      <x:c r="J79" s="1"/>
      <x:c r="K79" s="1"/>
    </x:row>
    <x:row r="80" ht="101" customHeight="1">
      <x:c r="A80" s="11" t="str">
        <x:v>R15, R31, R33, R35, R51, R52, R53, R54, R55, R70, R71, R72, R73, R108, R109, R111, R114, R115, R116, R117, R118, R121, R122, R134, R135, R136, R139, R140, R147, R150, R151, R152, R154, R157, R158, R165, R166, R167, R168, R172, R183, R187</x:v>
      </x:c>
      <x:c r="B80" s="18" t="n">
        <x:v>42</x:v>
      </x:c>
      <x:c r="C80" s="11" t="str">
        <x:v>10k</x:v>
      </x:c>
      <x:c r="D80" s="11" t="str">
        <x:v>RC0402FR-0710KL</x:v>
      </x:c>
      <x:c r="E80" s="11" t="str">
        <x:v>Yageo</x:v>
      </x:c>
      <x:c r="F80" s="11" t="str">
        <x:v>R0402</x:v>
      </x:c>
      <x:c r="G80" s="11" t="str">
        <x:v>RES 10.0K OHM 1/16W 1% 0402 SMD</x:v>
      </x:c>
      <x:c r="H80" s="1"/>
      <x:c r="I80" s="1"/>
      <x:c r="J80" s="1"/>
      <x:c r="K80" s="1"/>
    </x:row>
    <x:row r="81" ht="36" customHeight="1">
      <x:c r="A81" s="8" t="str">
        <x:v>R17, R131, R132, R175, R176, R177, R178, R179, R180, R181, R182</x:v>
      </x:c>
      <x:c r="B81" s="19" t="n">
        <x:v>11</x:v>
      </x:c>
      <x:c r="C81" s="8" t="str">
        <x:v>200k</x:v>
      </x:c>
      <x:c r="D81" s="8" t="str">
        <x:v>RC0402FR-07200KL</x:v>
      </x:c>
      <x:c r="E81" s="8" t="str">
        <x:v>Yageo</x:v>
      </x:c>
      <x:c r="F81" s="8" t="str">
        <x:v>R0402</x:v>
      </x:c>
      <x:c r="G81" s="8" t="str">
        <x:v>RES 200K OHM 1/16W 1% 0402 SMD</x:v>
      </x:c>
      <x:c r="H81" s="1"/>
      <x:c r="I81" s="1"/>
      <x:c r="J81" s="1"/>
      <x:c r="K81" s="1"/>
    </x:row>
    <x:row r="82" ht="30" customHeight="1">
      <x:c r="A82" s="11" t="str">
        <x:v>R18</x:v>
      </x:c>
      <x:c r="B82" s="18" t="n">
        <x:v>1</x:v>
      </x:c>
      <x:c r="C82" s="11" t="str">
        <x:v>2k1</x:v>
      </x:c>
      <x:c r="D82" s="11" t="str">
        <x:v>CRCW04022K10FKED</x:v>
      </x:c>
      <x:c r="E82" s="11" t="str">
        <x:v>Vishay Dale</x:v>
      </x:c>
      <x:c r="F82" s="11" t="str">
        <x:v>R0402</x:v>
      </x:c>
      <x:c r="G82" s="11" t="str">
        <x:v>RES 2.10K OHM 1/16W 1% 0402 SMD</x:v>
      </x:c>
      <x:c r="H82" s="1"/>
      <x:c r="I82" s="1"/>
      <x:c r="J82" s="1"/>
      <x:c r="K82" s="1"/>
    </x:row>
    <x:row r="83" ht="30" customHeight="1">
      <x:c r="A83" s="8" t="str">
        <x:v>R19, R21, R22, R25, R107</x:v>
      </x:c>
      <x:c r="B83" s="19" t="n">
        <x:v>5</x:v>
      </x:c>
      <x:c r="C83" s="8" t="str">
        <x:v>330R</x:v>
      </x:c>
      <x:c r="D83" s="8" t="str">
        <x:v>CRCW0402330RFKED</x:v>
      </x:c>
      <x:c r="E83" s="8" t="str">
        <x:v>Vishay Dale</x:v>
      </x:c>
      <x:c r="F83" s="8" t="str">
        <x:v>R0402</x:v>
      </x:c>
      <x:c r="G83" s="8" t="str">
        <x:v>RES 330 OHM 1/16W 1% 0402 SMD</x:v>
      </x:c>
      <x:c r="H83" s="1"/>
      <x:c r="I83" s="1"/>
      <x:c r="J83" s="1"/>
      <x:c r="K83" s="1"/>
    </x:row>
    <x:row r="84" ht="30" customHeight="1">
      <x:c r="A84" s="11" t="str">
        <x:v>R20, R27</x:v>
      </x:c>
      <x:c r="B84" s="18" t="n">
        <x:v>2</x:v>
      </x:c>
      <x:c r="C84" s="11" t="str">
        <x:v>2k4</x:v>
      </x:c>
      <x:c r="D84" s="11" t="str">
        <x:v>CRCW04022K40FKED</x:v>
      </x:c>
      <x:c r="E84" s="11" t="str">
        <x:v>Vishay Dale</x:v>
      </x:c>
      <x:c r="F84" s="11" t="str">
        <x:v>R0402</x:v>
      </x:c>
      <x:c r="G84" s="11" t="str">
        <x:v>RES 2.40K OHM 1/16W 1% 0402 SMD</x:v>
      </x:c>
      <x:c r="H84" s="1"/>
      <x:c r="I84" s="1"/>
      <x:c r="J84" s="1"/>
      <x:c r="K84" s="1"/>
    </x:row>
    <x:row r="85" ht="30" customHeight="1">
      <x:c r="A85" s="8" t="str">
        <x:v>R23</x:v>
      </x:c>
      <x:c r="B85" s="19" t="n">
        <x:v>1</x:v>
      </x:c>
      <x:c r="C85" s="8" t="str">
        <x:v>1M</x:v>
      </x:c>
      <x:c r="D85" s="8" t="str">
        <x:v>RC0402FR-071ML</x:v>
      </x:c>
      <x:c r="E85" s="8" t="str">
        <x:v>Yageo</x:v>
      </x:c>
      <x:c r="F85" s="8" t="str">
        <x:v>R0402</x:v>
      </x:c>
      <x:c r="G85" s="8" t="str">
        <x:v>RES 1.00M OHM 1/16W 1% 0402 SMD</x:v>
      </x:c>
      <x:c r="H85" s="1"/>
      <x:c r="I85" s="1"/>
      <x:c r="J85" s="1"/>
      <x:c r="K85" s="1"/>
    </x:row>
    <x:row r="86" ht="30" customHeight="1">
      <x:c r="A86" s="11" t="str">
        <x:v>R26</x:v>
      </x:c>
      <x:c r="B86" s="18" t="n">
        <x:v>1</x:v>
      </x:c>
      <x:c r="C86" s="11" t="str">
        <x:v>3k</x:v>
      </x:c>
      <x:c r="D86" s="11" t="str">
        <x:v>RC0402FR-073KL</x:v>
      </x:c>
      <x:c r="E86" s="11" t="str">
        <x:v>Yageo</x:v>
      </x:c>
      <x:c r="F86" s="11" t="str">
        <x:v>R0402</x:v>
      </x:c>
      <x:c r="G86" s="11" t="str">
        <x:v>RES 3K OHM 1/16W 1% 0402 SMD</x:v>
      </x:c>
      <x:c r="H86" s="1"/>
      <x:c r="I86" s="1"/>
      <x:c r="J86" s="1"/>
      <x:c r="K86" s="1"/>
    </x:row>
    <x:row r="87" ht="30" customHeight="1">
      <x:c r="A87" s="8" t="str">
        <x:v>R28, R29, R30, R102</x:v>
      </x:c>
      <x:c r="B87" s="19" t="n">
        <x:v>4</x:v>
      </x:c>
      <x:c r="C87" s="8" t="str">
        <x:v>2k2</x:v>
      </x:c>
      <x:c r="D87" s="8" t="str">
        <x:v>RC0402FR-072K2L</x:v>
      </x:c>
      <x:c r="E87" s="8" t="str">
        <x:v>Yageo</x:v>
      </x:c>
      <x:c r="F87" s="8" t="str">
        <x:v>R0402</x:v>
      </x:c>
      <x:c r="G87" s="8" t="str">
        <x:v>RES 2.20K OHM 1/16W 1% 0402 SMD</x:v>
      </x:c>
      <x:c r="H87" s="1"/>
      <x:c r="I87" s="1"/>
      <x:c r="J87" s="1"/>
      <x:c r="K87" s="1"/>
    </x:row>
    <x:row r="88" ht="36" customHeight="1">
      <x:c r="A88" s="11" t="str">
        <x:v>R44, R74, R75, R76, R77, R79, R80, R82, R83, R96, R97, R171, R185, R186</x:v>
      </x:c>
      <x:c r="B88" s="18" t="n">
        <x:v>14</x:v>
      </x:c>
      <x:c r="C88" s="11" t="str">
        <x:v>100k</x:v>
      </x:c>
      <x:c r="D88" s="11" t="str">
        <x:v>RMCF0402FT100K</x:v>
      </x:c>
      <x:c r="E88" s="11" t="str">
        <x:v>Stackpole Electronics Inc</x:v>
      </x:c>
      <x:c r="F88" s="11" t="str">
        <x:v>R0402</x:v>
      </x:c>
      <x:c r="G88" s="11" t="str">
        <x:v>RES 100K OHM 1/16W 1% 0402 SMD</x:v>
      </x:c>
      <x:c r="H88" s="1"/>
      <x:c r="I88" s="1"/>
      <x:c r="J88" s="1"/>
      <x:c r="K88" s="1"/>
    </x:row>
    <x:row r="89" ht="30" customHeight="1">
      <x:c r="A89" s="8" t="str">
        <x:v>R45, R59, R78, R110</x:v>
      </x:c>
      <x:c r="B89" s="19" t="n">
        <x:v>4</x:v>
      </x:c>
      <x:c r="C89" s="8" t="str">
        <x:v>1k</x:v>
      </x:c>
      <x:c r="D89" s="8" t="str">
        <x:v>RC0402FR-071KL</x:v>
      </x:c>
      <x:c r="E89" s="8" t="str">
        <x:v>Yageo</x:v>
      </x:c>
      <x:c r="F89" s="8" t="str">
        <x:v>R0402</x:v>
      </x:c>
      <x:c r="G89" s="8" t="str">
        <x:v>RES 1.00K OHM 1/16W 1% 0402 SMD</x:v>
      </x:c>
      <x:c r="H89" s="1"/>
      <x:c r="I89" s="1"/>
      <x:c r="J89" s="1"/>
      <x:c r="K89" s="1"/>
    </x:row>
    <x:row r="90" ht="30" customHeight="1">
      <x:c r="A90" s="11" t="str">
        <x:v>R47, R90, R91</x:v>
      </x:c>
      <x:c r="B90" s="18" t="n">
        <x:v>3</x:v>
      </x:c>
      <x:c r="C90" s="11" t="str">
        <x:v>15k</x:v>
      </x:c>
      <x:c r="D90" s="11" t="str">
        <x:v>RC0402FR-0715KL</x:v>
      </x:c>
      <x:c r="E90" s="11" t="str">
        <x:v>Yageo</x:v>
      </x:c>
      <x:c r="F90" s="11" t="str">
        <x:v>R0402</x:v>
      </x:c>
      <x:c r="G90" s="11" t="str">
        <x:v>RES 15.0K OHM 1/16W 1% 0402 SMD</x:v>
      </x:c>
      <x:c r="H90" s="1"/>
      <x:c r="I90" s="1"/>
      <x:c r="J90" s="1"/>
      <x:c r="K90" s="1"/>
    </x:row>
    <x:row r="91" ht="36" customHeight="1">
      <x:c r="A91" s="8" t="str">
        <x:v>R48, R49, R57, R160, R161</x:v>
      </x:c>
      <x:c r="B91" s="19" t="n">
        <x:v>5</x:v>
      </x:c>
      <x:c r="C91" s="8" t="str">
        <x:v>4k99</x:v>
      </x:c>
      <x:c r="D91" s="8" t="str">
        <x:v>RMCF0402FT4K99</x:v>
      </x:c>
      <x:c r="E91" s="8" t="str">
        <x:v>Stackpole Electronics Inc</x:v>
      </x:c>
      <x:c r="F91" s="8" t="str">
        <x:v>R0402</x:v>
      </x:c>
      <x:c r="G91" s="8" t="str">
        <x:v>RES TF 4.99K OHM 1% 1/16W 0402</x:v>
      </x:c>
      <x:c r="H91" s="1"/>
      <x:c r="I91" s="1"/>
      <x:c r="J91" s="1"/>
      <x:c r="K91" s="1"/>
    </x:row>
    <x:row r="92" ht="30" customHeight="1">
      <x:c r="A92" s="11" t="str">
        <x:v>R50</x:v>
      </x:c>
      <x:c r="B92" s="18" t="n">
        <x:v>1</x:v>
      </x:c>
      <x:c r="C92" s="11" t="str">
        <x:v>27k</x:v>
      </x:c>
      <x:c r="D92" s="11" t="str">
        <x:v>RC0402FR-0727KL</x:v>
      </x:c>
      <x:c r="E92" s="11" t="str">
        <x:v>Yageo</x:v>
      </x:c>
      <x:c r="F92" s="11" t="str">
        <x:v>R0402</x:v>
      </x:c>
      <x:c r="G92" s="11" t="str">
        <x:v>RES 27.0K OHM 1/16W 1% 0402 SMD</x:v>
      </x:c>
      <x:c r="H92" s="1"/>
      <x:c r="I92" s="1"/>
      <x:c r="J92" s="1"/>
      <x:c r="K92" s="1"/>
    </x:row>
    <x:row r="93" ht="36" customHeight="1">
      <x:c r="A93" s="8" t="str">
        <x:v>R58</x:v>
      </x:c>
      <x:c r="B93" s="19" t="n">
        <x:v>1</x:v>
      </x:c>
      <x:c r="C93" s="8" t="str">
        <x:v>365R</x:v>
      </x:c>
      <x:c r="D93" s="8" t="str">
        <x:v>RMCF0402FT365R</x:v>
      </x:c>
      <x:c r="E93" s="8" t="str">
        <x:v>Stackpole Electronics Inc</x:v>
      </x:c>
      <x:c r="F93" s="8" t="str">
        <x:v>R0402</x:v>
      </x:c>
      <x:c r="G93" s="8" t="str">
        <x:v>RES TF 365 OHM 1% 1/16W 0402</x:v>
      </x:c>
      <x:c r="H93" s="1"/>
      <x:c r="I93" s="1"/>
      <x:c r="J93" s="1"/>
      <x:c r="K93" s="1"/>
    </x:row>
    <x:row r="94" ht="30" customHeight="1">
      <x:c r="A94" s="11" t="str">
        <x:v>R60</x:v>
      </x:c>
      <x:c r="B94" s="18" t="n">
        <x:v>1</x:v>
      </x:c>
      <x:c r="C94" s="11" t="str">
        <x:v>1k8</x:v>
      </x:c>
      <x:c r="D94" s="11" t="str">
        <x:v>CRCW04021K80FKED</x:v>
      </x:c>
      <x:c r="E94" s="11" t="str">
        <x:v>Vishay Dale</x:v>
      </x:c>
      <x:c r="F94" s="11" t="str">
        <x:v>R0402</x:v>
      </x:c>
      <x:c r="G94" s="11" t="str">
        <x:v>RES 1.80K OHM 1/16W 1% 0402 SMD</x:v>
      </x:c>
      <x:c r="H94" s="1"/>
      <x:c r="I94" s="1"/>
      <x:c r="J94" s="1"/>
      <x:c r="K94" s="1"/>
    </x:row>
    <x:row r="95" ht="30" customHeight="1">
      <x:c r="A95" s="8" t="str">
        <x:v>R61</x:v>
      </x:c>
      <x:c r="B95" s="19" t="n">
        <x:v>1</x:v>
      </x:c>
      <x:c r="C95" s="8" t="str">
        <x:v>3k3</x:v>
      </x:c>
      <x:c r="D95" s="8" t="str">
        <x:v>RC0402FR-073K3L</x:v>
      </x:c>
      <x:c r="E95" s="8" t="str">
        <x:v>Yageo</x:v>
      </x:c>
      <x:c r="F95" s="8" t="str">
        <x:v>R0402</x:v>
      </x:c>
      <x:c r="G95" s="8" t="str">
        <x:v>RES 3.30K OHM 1/16W 1% 0402 SMD</x:v>
      </x:c>
      <x:c r="H95" s="1"/>
      <x:c r="I95" s="1"/>
      <x:c r="J95" s="1"/>
      <x:c r="K95" s="1"/>
    </x:row>
    <x:row r="96" ht="30" customHeight="1">
      <x:c r="A96" s="11" t="str">
        <x:v>R81</x:v>
      </x:c>
      <x:c r="B96" s="18" t="n">
        <x:v>1</x:v>
      </x:c>
      <x:c r="C96" s="11" t="str">
        <x:v>12k</x:v>
      </x:c>
      <x:c r="D96" s="11" t="str">
        <x:v>RC0402FR-0712KL</x:v>
      </x:c>
      <x:c r="E96" s="11" t="str">
        <x:v>Yageo</x:v>
      </x:c>
      <x:c r="F96" s="11" t="str">
        <x:v>R0402</x:v>
      </x:c>
      <x:c r="G96" s="11" t="str">
        <x:v>RES 12.0K OHM 1/16W 1% 0402 SMD</x:v>
      </x:c>
      <x:c r="H96" s="1"/>
      <x:c r="I96" s="1"/>
      <x:c r="J96" s="1"/>
      <x:c r="K96" s="1"/>
    </x:row>
    <x:row r="97" ht="30" customHeight="1">
      <x:c r="A97" s="8" t="str">
        <x:v>R84, R85, R86, R87</x:v>
      </x:c>
      <x:c r="B97" s="19" t="n">
        <x:v>4</x:v>
      </x:c>
      <x:c r="C97" s="8" t="str">
        <x:v>75R</x:v>
      </x:c>
      <x:c r="D97" s="8" t="str">
        <x:v>RC0402FR-0775RL</x:v>
      </x:c>
      <x:c r="E97" s="8" t="str">
        <x:v>Yageo</x:v>
      </x:c>
      <x:c r="F97" s="8" t="str">
        <x:v>R0402</x:v>
      </x:c>
      <x:c r="G97" s="8" t="str">
        <x:v>RES 75.0 OHM 1/16W 1% 0402 SMD</x:v>
      </x:c>
      <x:c r="H97" s="1"/>
      <x:c r="I97" s="1"/>
      <x:c r="J97" s="1"/>
      <x:c r="K97" s="1"/>
    </x:row>
    <x:row r="98" ht="36" customHeight="1">
      <x:c r="A98" s="11" t="str">
        <x:v>R92, R93, R141, R142, R149</x:v>
      </x:c>
      <x:c r="B98" s="18" t="n">
        <x:v>5</x:v>
      </x:c>
      <x:c r="C98" s="11" t="str">
        <x:v>33R</x:v>
      </x:c>
      <x:c r="D98" s="11" t="str">
        <x:v>RMCF0402FT33R0</x:v>
      </x:c>
      <x:c r="E98" s="11" t="str">
        <x:v>Stackpole Electronics Inc</x:v>
      </x:c>
      <x:c r="F98" s="11" t="str">
        <x:v>R0402</x:v>
      </x:c>
      <x:c r="G98" s="11" t="str">
        <x:v>RES TF 33 OHM 1% 1/16W 0402</x:v>
      </x:c>
      <x:c r="H98" s="1"/>
      <x:c r="I98" s="1"/>
      <x:c r="J98" s="1"/>
      <x:c r="K98" s="1"/>
    </x:row>
    <x:row r="99" ht="30" customHeight="1">
      <x:c r="A99" s="8" t="str">
        <x:v>R94, R95, R119</x:v>
      </x:c>
      <x:c r="B99" s="19" t="n">
        <x:v>3</x:v>
      </x:c>
      <x:c r="C99" s="8" t="str">
        <x:v>100R</x:v>
      </x:c>
      <x:c r="D99" s="8" t="str">
        <x:v>RC0402FR-07100RL</x:v>
      </x:c>
      <x:c r="E99" s="8" t="str">
        <x:v>Yageo</x:v>
      </x:c>
      <x:c r="F99" s="8" t="str">
        <x:v>R0402</x:v>
      </x:c>
      <x:c r="G99" s="8" t="str">
        <x:v>RES 100 OHM 1/16W 1% 0402 SMD</x:v>
      </x:c>
      <x:c r="H99" s="1"/>
      <x:c r="I99" s="1"/>
      <x:c r="J99" s="1"/>
      <x:c r="K99" s="1"/>
    </x:row>
    <x:row r="100" ht="30" customHeight="1">
      <x:c r="A100" s="11" t="str">
        <x:v>R98, R99</x:v>
      </x:c>
      <x:c r="B100" s="18" t="n">
        <x:v>2</x:v>
      </x:c>
      <x:c r="C100" s="11" t="str">
        <x:v>562</x:v>
      </x:c>
      <x:c r="D100" s="11" t="str">
        <x:v>CRCW0402562RFKED</x:v>
      </x:c>
      <x:c r="E100" s="11" t="str">
        <x:v>Vishay Dale</x:v>
      </x:c>
      <x:c r="F100" s="11" t="str">
        <x:v>R0402</x:v>
      </x:c>
      <x:c r="G100" s="11" t="str">
        <x:v>RES 562 OHM 1/16W 1% 0402 SMD</x:v>
      </x:c>
      <x:c r="H100" s="1"/>
      <x:c r="I100" s="1"/>
      <x:c r="J100" s="1"/>
      <x:c r="K100" s="1"/>
    </x:row>
    <x:row r="101" ht="30" customHeight="1">
      <x:c r="A101" s="8" t="str">
        <x:v>R100, R101</x:v>
      </x:c>
      <x:c r="B101" s="19" t="n">
        <x:v>2</x:v>
      </x:c>
      <x:c r="C101" s="8" t="str">
        <x:v>47k5</x:v>
      </x:c>
      <x:c r="D101" s="8" t="str">
        <x:v>RC0402FR-0747K5L</x:v>
      </x:c>
      <x:c r="E101" s="8" t="str">
        <x:v>Yageo</x:v>
      </x:c>
      <x:c r="F101" s="8" t="str">
        <x:v>R0402</x:v>
      </x:c>
      <x:c r="G101" s="8" t="str">
        <x:v>RES 47.5K OHM 1/16W 1% 0402 SMD</x:v>
      </x:c>
      <x:c r="H101" s="1"/>
      <x:c r="I101" s="1"/>
      <x:c r="J101" s="1"/>
      <x:c r="K101" s="1"/>
    </x:row>
    <x:row r="102" ht="30" customHeight="1">
      <x:c r="A102" s="11" t="str">
        <x:v>R125</x:v>
      </x:c>
      <x:c r="B102" s="18" t="n">
        <x:v>1</x:v>
      </x:c>
      <x:c r="C102" s="11" t="str">
        <x:v>10R</x:v>
      </x:c>
      <x:c r="D102" s="11" t="str">
        <x:v>RC0402FR-0710RL</x:v>
      </x:c>
      <x:c r="E102" s="11" t="str">
        <x:v>Yageo</x:v>
      </x:c>
      <x:c r="F102" s="11" t="str">
        <x:v>R0402</x:v>
      </x:c>
      <x:c r="G102" s="11" t="str">
        <x:v>RES 10.0 OHM 1/16W 1% 0402 SMD</x:v>
      </x:c>
      <x:c r="H102" s="1"/>
      <x:c r="I102" s="1"/>
      <x:c r="J102" s="1"/>
      <x:c r="K102" s="1"/>
    </x:row>
    <x:row r="103" ht="30" customHeight="1">
      <x:c r="A103" s="8" t="str">
        <x:v>R126, R127</x:v>
      </x:c>
      <x:c r="B103" s="19" t="n">
        <x:v>2</x:v>
      </x:c>
      <x:c r="C103" s="8" t="str">
        <x:v>1R</x:v>
      </x:c>
      <x:c r="D103" s="8" t="str">
        <x:v>RC0402FR-071RL</x:v>
      </x:c>
      <x:c r="E103" s="8" t="str">
        <x:v>Yageo</x:v>
      </x:c>
      <x:c r="F103" s="8" t="str">
        <x:v>R0402</x:v>
      </x:c>
      <x:c r="G103" s="8" t="str">
        <x:v>RES 1.00 OHM 1/16W 1% 0402 SMD</x:v>
      </x:c>
      <x:c r="H103" s="1"/>
      <x:c r="I103" s="1"/>
      <x:c r="J103" s="1"/>
      <x:c r="K103" s="1"/>
    </x:row>
    <x:row r="104" ht="36" customHeight="1">
      <x:c r="A104" s="11" t="str">
        <x:v>R144, R145, R146, R148</x:v>
      </x:c>
      <x:c r="B104" s="18" t="n">
        <x:v>4</x:v>
      </x:c>
      <x:c r="C104" s="11" t="str">
        <x:v>240R</x:v>
      </x:c>
      <x:c r="D104" s="11" t="str">
        <x:v>RMCF0402FT240R</x:v>
      </x:c>
      <x:c r="E104" s="11" t="str">
        <x:v>Stackpole Electronics Inc</x:v>
      </x:c>
      <x:c r="F104" s="11" t="str">
        <x:v>R0402</x:v>
      </x:c>
      <x:c r="G104" s="11" t="str">
        <x:v>RES TF 240 OHM 1% 0.0625W 0402</x:v>
      </x:c>
      <x:c r="H104" s="1"/>
      <x:c r="I104" s="1"/>
      <x:c r="J104" s="1"/>
      <x:c r="K104" s="1"/>
    </x:row>
    <x:row r="105" ht="30" customHeight="1">
      <x:c r="A105" s="8" t="str">
        <x:v>SW1</x:v>
      </x:c>
      <x:c r="B105" s="19" t="n">
        <x:v>1</x:v>
      </x:c>
      <x:c r="C105" s="8" t="str">
        <x:v>FSMRA2JH</x:v>
      </x:c>
      <x:c r="D105" s="8" t="str">
        <x:v>FSMRA2JH</x:v>
      </x:c>
      <x:c r="E105" s="8" t="str">
        <x:v>TE Connectivity</x:v>
      </x:c>
      <x:c r="F105" s="8" t="str">
        <x:v>FSMRA2JH</x:v>
      </x:c>
      <x:c r="G105" s="8" t="str">
        <x:v>SWITCH TACTILE SPST-NO 0.05A 12V</x:v>
      </x:c>
      <x:c r="H105" s="1"/>
      <x:c r="I105" s="1"/>
      <x:c r="J105" s="1"/>
      <x:c r="K105" s="1"/>
    </x:row>
    <x:row r="106" ht="30" customHeight="1">
      <x:c r="A106" s="11" t="str">
        <x:v>SW2, SW3</x:v>
      </x:c>
      <x:c r="B106" s="18" t="n">
        <x:v>2</x:v>
      </x:c>
      <x:c r="C106" s="11" t="str">
        <x:v>FSMRA3JH</x:v>
      </x:c>
      <x:c r="D106" s="11" t="str">
        <x:v>FSMRA3JH</x:v>
      </x:c>
      <x:c r="E106" s="11" t="str">
        <x:v>TE Connectivity</x:v>
      </x:c>
      <x:c r="F106" s="11" t="str">
        <x:v>FSMRA3JH</x:v>
      </x:c>
      <x:c r="G106" s="11" t="str">
        <x:v>SWITCH TACTILE SPST-NO 0.05A 12V</x:v>
      </x:c>
      <x:c r="H106" s="1"/>
      <x:c r="I106" s="1"/>
      <x:c r="J106" s="1"/>
      <x:c r="K106" s="1"/>
    </x:row>
    <x:row r="107" ht="36" customHeight="1">
      <x:c r="A107" s="8" t="str">
        <x:v>T1</x:v>
      </x:c>
      <x:c r="B107" s="19" t="n">
        <x:v>1</x:v>
      </x:c>
      <x:c r="C107" s="8" t="str">
        <x:v>H5007NL</x:v>
      </x:c>
      <x:c r="D107" s="8" t="str">
        <x:v>H5007NL</x:v>
      </x:c>
      <x:c r="E107" s="8" t="str">
        <x:v>PULSE ELECTRONICS CORPORATION</x:v>
      </x:c>
      <x:c r="F107" s="8" t="str">
        <x:v>H5007NL</x:v>
      </x:c>
      <x:c r="G107" s="8" t="str">
        <x:v>MODULE SINGLE GIGABIT LAN 24SOIC</x:v>
      </x:c>
      <x:c r="H107" s="1"/>
      <x:c r="I107" s="1"/>
      <x:c r="J107" s="1"/>
      <x:c r="K107" s="1"/>
    </x:row>
    <x:row r="108" ht="30" customHeight="1">
      <x:c r="A108" s="11" t="str">
        <x:v>U1, U3</x:v>
      </x:c>
      <x:c r="B108" s="18" t="n">
        <x:v>2</x:v>
      </x:c>
      <x:c r="C108" s="11" t="str">
        <x:v>TPS74801DRCR</x:v>
      </x:c>
      <x:c r="D108" s="11" t="str">
        <x:v>TPS74801DRCR</x:v>
      </x:c>
      <x:c r="E108" s="11" t="str">
        <x:v>Texas Instruments</x:v>
      </x:c>
      <x:c r="F108" s="11" t="str">
        <x:v>DRC (S-PVSON-N10)</x:v>
      </x:c>
      <x:c r="G108" s="11" t="str">
        <x:v>IC REG LDO ADJ 1.5A 10SON</x:v>
      </x:c>
      <x:c r="H108" s="1"/>
      <x:c r="I108" s="1"/>
      <x:c r="J108" s="1"/>
      <x:c r="K108" s="1"/>
    </x:row>
    <x:row r="109" ht="30" customHeight="1">
      <x:c r="A109" s="8" t="str">
        <x:v>U2</x:v>
      </x:c>
      <x:c r="B109" s="19" t="n">
        <x:v>1</x:v>
      </x:c>
      <x:c r="C109" s="8" t="str">
        <x:v>TSC2007IPWR</x:v>
      </x:c>
      <x:c r="D109" s="8" t="str">
        <x:v>TSC2007IPWR</x:v>
      </x:c>
      <x:c r="E109" s="8" t="str">
        <x:v>Texas Instruments</x:v>
      </x:c>
      <x:c r="F109" s="8" t="str">
        <x:v>PW (R-PDGO-G16)</x:v>
      </x:c>
      <x:c r="G109" s="8" t="str">
        <x:v>IC TOUCH SCREEN 12BIT 16TSSOP</x:v>
      </x:c>
      <x:c r="H109" s="1"/>
      <x:c r="I109" s="1"/>
      <x:c r="J109" s="1"/>
      <x:c r="K109" s="1"/>
    </x:row>
    <x:row r="110" ht="30" customHeight="1">
      <x:c r="A110" s="11" t="str">
        <x:v>U4</x:v>
      </x:c>
      <x:c r="B110" s="18" t="n">
        <x:v>1</x:v>
      </x:c>
      <x:c r="C110" s="11" t="str">
        <x:v>TPA6041A4RHBR</x:v>
      </x:c>
      <x:c r="D110" s="11" t="str">
        <x:v>TPA6041A4RHBR</x:v>
      </x:c>
      <x:c r="E110" s="11" t="str">
        <x:v>Texas Instruments</x:v>
      </x:c>
      <x:c r="F110" s="11" t="str">
        <x:v>VQFN32 5X5X0.85</x:v>
      </x:c>
      <x:c r="G110" s="11" t="str">
        <x:v>IC AMP AUDIO PWR 2.6W AB 32VQFN</x:v>
      </x:c>
      <x:c r="H110" s="1"/>
      <x:c r="I110" s="1"/>
      <x:c r="J110" s="1"/>
      <x:c r="K110" s="1"/>
    </x:row>
    <x:row r="111" ht="30" customHeight="1">
      <x:c r="A111" s="8" t="str">
        <x:v>U5</x:v>
      </x:c>
      <x:c r="B111" s="19" t="n">
        <x:v>1</x:v>
      </x:c>
      <x:c r="C111" s="8" t="str">
        <x:v>MAX9867ETJ+</x:v>
      </x:c>
      <x:c r="D111" s="8" t="str">
        <x:v>MAX9867ETJ+</x:v>
      </x:c>
      <x:c r="E111" s="8" t="str">
        <x:v>Maxim Integrated</x:v>
      </x:c>
      <x:c r="F111" s="8" t="str">
        <x:v>QFN32 5X5X0.85</x:v>
      </x:c>
      <x:c r="G111" s="8" t="str">
        <x:v>IC STEREO AUD CODEC LP 32TQFN-EP</x:v>
      </x:c>
      <x:c r="H111" s="1"/>
      <x:c r="I111" s="1"/>
      <x:c r="J111" s="1"/>
      <x:c r="K111" s="1"/>
    </x:row>
    <x:row r="112" ht="30" customHeight="1">
      <x:c r="A112" s="11" t="str">
        <x:v>U6</x:v>
      </x:c>
      <x:c r="B112" s="18" t="n">
        <x:v>1</x:v>
      </x:c>
      <x:c r="C112" s="11" t="str">
        <x:v>PCA9306DCTR</x:v>
      </x:c>
      <x:c r="D112" s="11" t="str">
        <x:v>PCA9306DCTR</x:v>
      </x:c>
      <x:c r="E112" s="11" t="str">
        <x:v>Texas Instruments</x:v>
      </x:c>
      <x:c r="F112" s="11" t="str">
        <x:v>DCT_8</x:v>
      </x:c>
      <x:c r="G112" s="11" t="str">
        <x:v>IC VOLT-LEVEL TRANSLATOR SM8</x:v>
      </x:c>
      <x:c r="H112" s="1"/>
      <x:c r="I112" s="1"/>
      <x:c r="J112" s="1"/>
      <x:c r="K112" s="1"/>
    </x:row>
    <x:row r="113" ht="30" customHeight="1">
      <x:c r="A113" s="8" t="str">
        <x:v>U7</x:v>
      </x:c>
      <x:c r="B113" s="19" t="n">
        <x:v>1</x:v>
      </x:c>
      <x:c r="C113" s="8" t="str">
        <x:v>CM2020-00TR</x:v>
      </x:c>
      <x:c r="D113" s="8" t="str">
        <x:v>CM2020-00TR</x:v>
      </x:c>
      <x:c r="E113" s="8" t="str">
        <x:v>ON Semiconductor</x:v>
      </x:c>
      <x:c r="F113" s="8" t="str">
        <x:v>TSSOP_38</x:v>
      </x:c>
      <x:c r="G113" s="8" t="str">
        <x:v>IC HDMI TX PORT P/I 38-TSSOP</x:v>
      </x:c>
      <x:c r="H113" s="1"/>
      <x:c r="I113" s="1"/>
      <x:c r="J113" s="1"/>
      <x:c r="K113" s="1"/>
    </x:row>
    <x:row r="114" ht="30" customHeight="1">
      <x:c r="A114" s="11" t="str">
        <x:v>U8, U23</x:v>
      </x:c>
      <x:c r="B114" s="18" t="n">
        <x:v>2</x:v>
      </x:c>
      <x:c r="C114" s="11" t="str">
        <x:v>SN74AHC1G09DBVR</x:v>
      </x:c>
      <x:c r="D114" s="11" t="str">
        <x:v>SN74AHC1G09DBVR</x:v>
      </x:c>
      <x:c r="E114" s="11" t="str">
        <x:v>Texas Instruments</x:v>
      </x:c>
      <x:c r="F114" s="11" t="str">
        <x:v>DBV_SOT_23_5</x:v>
      </x:c>
      <x:c r="G114" s="11" t="str">
        <x:v>IC GATE AND SGL 2INP SOT23-5</x:v>
      </x:c>
      <x:c r="H114" s="1"/>
      <x:c r="I114" s="1"/>
      <x:c r="J114" s="1"/>
      <x:c r="K114" s="1"/>
    </x:row>
    <x:row r="115" ht="30" customHeight="1">
      <x:c r="A115" s="8" t="str">
        <x:v>U9</x:v>
      </x:c>
      <x:c r="B115" s="19" t="n">
        <x:v>1</x:v>
      </x:c>
      <x:c r="C115" s="8" t="str">
        <x:v>TPS2034D</x:v>
      </x:c>
      <x:c r="D115" s="8" t="str">
        <x:v>TPS2034D</x:v>
      </x:c>
      <x:c r="E115" s="8" t="str">
        <x:v>Texas Instruments</x:v>
      </x:c>
      <x:c r="F115" s="8" t="str">
        <x:v>8_SOIC_3.9MM</x:v>
      </x:c>
      <x:c r="G115" s="8" t="str">
        <x:v>IC 3.0A POWER DIST SWITCH 8-SOIC</x:v>
      </x:c>
      <x:c r="H115" s="1"/>
      <x:c r="I115" s="1"/>
      <x:c r="J115" s="1"/>
      <x:c r="K115" s="1"/>
    </x:row>
    <x:row r="116" ht="30" customHeight="1">
      <x:c r="A116" s="11" t="str">
        <x:v>U10</x:v>
      </x:c>
      <x:c r="B116" s="18" t="n">
        <x:v>1</x:v>
      </x:c>
      <x:c r="C116" s="11" t="str">
        <x:v>LM358AMX</x:v>
      </x:c>
      <x:c r="D116" s="11" t="str">
        <x:v>LM358AMX</x:v>
      </x:c>
      <x:c r="E116" s="11" t="str">
        <x:v>Fairchild Semiconductor</x:v>
      </x:c>
      <x:c r="F116" s="11" t="str">
        <x:v>8_SOIC_3.9MM</x:v>
      </x:c>
      <x:c r="G116" s="11" t="str">
        <x:v>IC OPAMP DUAL 0-70DEG C 8-SOIC</x:v>
      </x:c>
      <x:c r="H116" s="1"/>
      <x:c r="I116" s="1"/>
      <x:c r="J116" s="1"/>
      <x:c r="K116" s="1"/>
    </x:row>
    <x:row r="117" ht="30" customHeight="1">
      <x:c r="A117" s="8" t="str">
        <x:v>U11, U12</x:v>
      </x:c>
      <x:c r="B117" s="19" t="n">
        <x:v>2</x:v>
      </x:c>
      <x:c r="C117" s="8" t="str">
        <x:v>MIC2026-1YM TR</x:v>
      </x:c>
      <x:c r="D117" s="8" t="str">
        <x:v>MIC2026-1YM TR</x:v>
      </x:c>
      <x:c r="E117" s="8" t="str">
        <x:v>Micrel Inc</x:v>
      </x:c>
      <x:c r="F117" s="8" t="str">
        <x:v>8_SOIC_3.9MM</x:v>
      </x:c>
      <x:c r="G117" s="8" t="str">
        <x:v>IC SW DISTRIBUTION 2CHAN 8SOIC</x:v>
      </x:c>
      <x:c r="H117" s="1"/>
      <x:c r="I117" s="1"/>
      <x:c r="J117" s="1"/>
      <x:c r="K117" s="1"/>
    </x:row>
    <x:row r="118" ht="30" customHeight="1">
      <x:c r="A118" s="11" t="str">
        <x:v>U13</x:v>
      </x:c>
      <x:c r="B118" s="18" t="n">
        <x:v>1</x:v>
      </x:c>
      <x:c r="C118" s="11" t="str">
        <x:v>USB2514BI-AEZG</x:v>
      </x:c>
      <x:c r="D118" s="11" t="str">
        <x:v>USB2514BI-AEZG</x:v>
      </x:c>
      <x:c r="E118" s="11" t="str">
        <x:v>Microchip Technology</x:v>
      </x:c>
      <x:c r="F118" s="11" t="str">
        <x:v>QFN36_6MMX6MM</x:v>
      </x:c>
      <x:c r="G118" s="11" t="str">
        <x:v>USB HUB CONT IND TEMP 36QFNE3</x:v>
      </x:c>
      <x:c r="H118" s="1"/>
      <x:c r="I118" s="1"/>
      <x:c r="J118" s="1"/>
      <x:c r="K118" s="1"/>
    </x:row>
    <x:row r="119" ht="30" customHeight="1">
      <x:c r="A119" s="8" t="str">
        <x:v>U14</x:v>
      </x:c>
      <x:c r="B119" s="19" t="n">
        <x:v>1</x:v>
      </x:c>
      <x:c r="C119" s="8" t="str">
        <x:v>SGTL5000XNAA3R2</x:v>
      </x:c>
      <x:c r="D119" s="8" t="str">
        <x:v>SGTL5000XNAA3R2</x:v>
      </x:c>
      <x:c r="E119" s="8" t="str">
        <x:v>Freescale Semiconductor</x:v>
      </x:c>
      <x:c r="F119" s="8" t="str">
        <x:v>QFN32 5X5X0.85</x:v>
      </x:c>
      <x:c r="G119" s="8" t="str">
        <x:v>IC AUDIO CODEC STEREO 32-QFN</x:v>
      </x:c>
      <x:c r="H119" s="1"/>
      <x:c r="I119" s="1"/>
      <x:c r="J119" s="1"/>
      <x:c r="K119" s="1"/>
    </x:row>
    <x:row r="120" ht="30" customHeight="1">
      <x:c r="A120" s="11" t="str">
        <x:v>U15</x:v>
      </x:c>
      <x:c r="B120" s="18" t="n">
        <x:v>1</x:v>
      </x:c>
      <x:c r="C120" s="11" t="str">
        <x:v>TLV803SDBZR</x:v>
      </x:c>
      <x:c r="D120" s="11" t="str">
        <x:v>TLV803SDBZR</x:v>
      </x:c>
      <x:c r="E120" s="11" t="str">
        <x:v>Texas Instruments</x:v>
      </x:c>
      <x:c r="F120" s="11" t="str">
        <x:v>DBZ</x:v>
      </x:c>
      <x:c r="G120" s="11" t="str">
        <x:v>IC VOLT SUPERVISR 2.93V SOT23-3</x:v>
      </x:c>
      <x:c r="H120" s="1"/>
      <x:c r="I120" s="1"/>
      <x:c r="J120" s="1"/>
      <x:c r="K120" s="1"/>
    </x:row>
    <x:row r="121" ht="30" customHeight="1">
      <x:c r="A121" s="8" t="str">
        <x:v>U16</x:v>
      </x:c>
      <x:c r="B121" s="19" t="n">
        <x:v>1</x:v>
      </x:c>
      <x:c r="C121" s="8" t="str">
        <x:v>ISL4245EIRZ</x:v>
      </x:c>
      <x:c r="D121" s="8" t="str">
        <x:v>ISL4245EIRZ</x:v>
      </x:c>
      <x:c r="E121" s="8" t="str">
        <x:v>Intersil</x:v>
      </x:c>
      <x:c r="F121" s="8" t="str">
        <x:v>QFN32 5X5X0.85</x:v>
      </x:c>
      <x:c r="G121" s="8" t="str">
        <x:v>IC 3DRVR/5RCVR RS232 3V 32-QFN</x:v>
      </x:c>
      <x:c r="H121" s="1"/>
      <x:c r="I121" s="1"/>
      <x:c r="J121" s="1"/>
      <x:c r="K121" s="1"/>
    </x:row>
    <x:row r="122" ht="30" customHeight="1">
      <x:c r="A122" s="11" t="str">
        <x:v>U17</x:v>
      </x:c>
      <x:c r="B122" s="18" t="n">
        <x:v>1</x:v>
      </x:c>
      <x:c r="C122" s="11" t="str">
        <x:v>PCF8563T</x:v>
      </x:c>
      <x:c r="D122" s="11" t="str">
        <x:v>PCF8563T/F4,118</x:v>
      </x:c>
      <x:c r="E122" s="11" t="str">
        <x:v>NXP Semiconductors</x:v>
      </x:c>
      <x:c r="F122" s="11" t="str">
        <x:v>8_SOIC_3.9MM</x:v>
      </x:c>
      <x:c r="G122" s="11" t="str">
        <x:v>IC REAL TIME CLK/CALENDAR 8-SOIC</x:v>
      </x:c>
      <x:c r="H122" s="1"/>
      <x:c r="I122" s="1"/>
      <x:c r="J122" s="1"/>
      <x:c r="K122" s="1"/>
    </x:row>
    <x:row r="123" ht="30" customHeight="1">
      <x:c r="A123" s="8" t="str">
        <x:v>U18</x:v>
      </x:c>
      <x:c r="B123" s="19" t="n">
        <x:v>1</x:v>
      </x:c>
      <x:c r="C123" s="8" t="str">
        <x:v>BR24L02FVM-WTR</x:v>
      </x:c>
      <x:c r="D123" s="8" t="str">
        <x:v>BR24L02FVM-WTR</x:v>
      </x:c>
      <x:c r="E123" s="8" t="str">
        <x:v>Rohm Semiconductor</x:v>
      </x:c>
      <x:c r="F123" s="8" t="str">
        <x:v>MSOP8 _SMALLER</x:v>
      </x:c>
      <x:c r="G123" s="8" t="str">
        <x:v>IC EEPROM 2KBIT 400KHZ 8MSOP</x:v>
      </x:c>
      <x:c r="H123" s="1"/>
      <x:c r="I123" s="1"/>
      <x:c r="J123" s="1"/>
      <x:c r="K123" s="1"/>
    </x:row>
    <x:row r="124" ht="30" customHeight="1">
      <x:c r="A124" s="11" t="str">
        <x:v>U19</x:v>
      </x:c>
      <x:c r="B124" s="18" t="n">
        <x:v>1</x:v>
      </x:c>
      <x:c r="C124" s="11" t="str">
        <x:v>PCA9535BS</x:v>
      </x:c>
      <x:c r="D124" s="11" t="str">
        <x:v>PCA9535BS,118</x:v>
      </x:c>
      <x:c r="E124" s="11" t="str">
        <x:v>NXP Semiconductors</x:v>
      </x:c>
      <x:c r="F124" s="11" t="str">
        <x:v>HVQFN24_4X4MM</x:v>
      </x:c>
      <x:c r="G124" s="11" t="str">
        <x:v>IC I/O EXPANDER I2C 16B 24HVQFN</x:v>
      </x:c>
      <x:c r="H124" s="1"/>
      <x:c r="I124" s="1"/>
      <x:c r="J124" s="1"/>
      <x:c r="K124" s="1"/>
    </x:row>
    <x:row r="125" ht="30" customHeight="1">
      <x:c r="A125" s="8" t="str">
        <x:v>U20, U21, U24</x:v>
      </x:c>
      <x:c r="B125" s="19" t="n">
        <x:v>3</x:v>
      </x:c>
      <x:c r="C125" s="8" t="str">
        <x:v>SN74LVC1G08DCKR</x:v>
      </x:c>
      <x:c r="D125" s="8" t="str">
        <x:v>SN74LVC1G08DCKR</x:v>
      </x:c>
      <x:c r="E125" s="8" t="str">
        <x:v>Texas Instruments</x:v>
      </x:c>
      <x:c r="F125" s="8" t="str">
        <x:v>SC70_5</x:v>
      </x:c>
      <x:c r="G125" s="8" t="str">
        <x:v>SINGLE POSITIVE AND GATE SC-70</x:v>
      </x:c>
      <x:c r="H125" s="1"/>
      <x:c r="I125" s="1"/>
      <x:c r="J125" s="1"/>
      <x:c r="K125" s="1"/>
    </x:row>
    <x:row r="126" ht="30" customHeight="1">
      <x:c r="A126" s="11" t="str">
        <x:v>U22</x:v>
      </x:c>
      <x:c r="B126" s="18" t="n">
        <x:v>1</x:v>
      </x:c>
      <x:c r="C126" s="11" t="str">
        <x:v>ISL6236AIRZ</x:v>
      </x:c>
      <x:c r="D126" s="11" t="str">
        <x:v>ISL6236AIRZ</x:v>
      </x:c>
      <x:c r="E126" s="11" t="str">
        <x:v>Intersil</x:v>
      </x:c>
      <x:c r="F126" s="11" t="str">
        <x:v>32_VFQFN_EXPOSED_PAD</x:v>
      </x:c>
      <x:c r="G126" s="11" t="str">
        <x:v>IC MAIN PWR CTRLR QUAD 32-QFN</x:v>
      </x:c>
      <x:c r="H126" s="1"/>
      <x:c r="I126" s="1"/>
      <x:c r="J126" s="1"/>
      <x:c r="K126" s="1"/>
    </x:row>
    <x:row r="127" ht="30" customHeight="1">
      <x:c r="A127" s="8" t="str">
        <x:v>Y1</x:v>
      </x:c>
      <x:c r="B127" s="19" t="n">
        <x:v>1</x:v>
      </x:c>
      <x:c r="C127" s="8" t="str">
        <x:v>12.288MHz</x:v>
      </x:c>
      <x:c r="D127" s="8" t="str">
        <x:v>ASFLMB-12.288MHZ-LR-T</x:v>
      </x:c>
      <x:c r="E127" s="8" t="str">
        <x:v>Abracon Corporation</x:v>
      </x:c>
      <x:c r="F127" s="8" t="str">
        <x:v>ASFLMB</x:v>
      </x:c>
      <x:c r="G127" s="8" t="str">
        <x:v>OSC MEMS 12.288 MHZ SMD</x:v>
      </x:c>
      <x:c r="H127" s="1"/>
      <x:c r="I127" s="1"/>
      <x:c r="J127" s="1"/>
      <x:c r="K127" s="1"/>
    </x:row>
    <x:row r="128" ht="30" customHeight="1">
      <x:c r="A128" s="11" t="str">
        <x:v>Y2</x:v>
      </x:c>
      <x:c r="B128" s="18" t="n">
        <x:v>1</x:v>
      </x:c>
      <x:c r="C128" s="11" t="str">
        <x:v>24MHz</x:v>
      </x:c>
      <x:c r="D128" s="11" t="str">
        <x:v>ABM7-24.000MHZ-D-2-Y-T</x:v>
      </x:c>
      <x:c r="E128" s="11" t="str">
        <x:v>Abracon Corporation</x:v>
      </x:c>
      <x:c r="F128" s="11" t="str">
        <x:v>ABM7_V1_1</x:v>
      </x:c>
      <x:c r="G128" s="11" t="str">
        <x:v>CRYSTAL 24.0000MHZ 18PF SMD</x:v>
      </x:c>
      <x:c r="H128" s="1"/>
      <x:c r="I128" s="1"/>
      <x:c r="J128" s="1"/>
      <x:c r="K128" s="1"/>
    </x:row>
    <x:row r="129" ht="30" customHeight="1">
      <x:c r="A129" s="8" t="str">
        <x:v>Y3</x:v>
      </x:c>
      <x:c r="B129" s="19" t="n">
        <x:v>1</x:v>
      </x:c>
      <x:c r="C129" s="8" t="str">
        <x:v>32.768kHz</x:v>
      </x:c>
      <x:c r="D129" s="8" t="str">
        <x:v>ABS06-32.768KHZ-9-1-T</x:v>
      </x:c>
      <x:c r="E129" s="8" t="str">
        <x:v>Abracon Corporation</x:v>
      </x:c>
      <x:c r="F129" s="8" t="str">
        <x:v>ABS06</x:v>
      </x:c>
      <x:c r="G129" s="8" t="str">
        <x:v>CRYSTAL 32.768 KHZ 9.0 PF SMD</x:v>
      </x:c>
      <x:c r="H129" s="1"/>
      <x:c r="I129" s="1"/>
      <x:c r="J129" s="1"/>
      <x:c r="K129" s="1"/>
    </x:row>
    <x:row r="130">
      <x:c r="A130" s="1"/>
      <x:c r="B130" s="16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9" customHeight="1">
      <x:c r="A131" s="13" t="str">
        <x:v>Total de componentes com MPN</x:v>
      </x:c>
      <x:c r="B131" s="17" t="n">
        <x:f>SUM(B6:B129)</x:f>
        <x:v>546</x:v>
      </x:c>
      <x:c r="C131" s="13"/>
      <x:c r="D131" s="13"/>
      <x:c r="E131" s="13"/>
      <x:c r="F131" s="13"/>
      <x:c r="G131" s="13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</x:row>
  </x:sheetData>
  <x:pageMargins left="0.7" right="0.7" top="0.75" bottom="0.75" header="0.3" footer="0.3"/>
  <x:tableParts count="1">
    <x:tablePart xmlns:r="http://schemas.openxmlformats.org/officeDocument/2006/relationships" r:id="Re2d43779be5043d0"/>
  </x:tableParts>
</x:worksheet>
</file>

<file path=xl/worksheets/sheet4.xml><?xml version="1.0" encoding="utf-8"?>
<x:worksheet xmlns:x="http://schemas.openxmlformats.org/spreadsheetml/2006/main">
  <x:sheetPr>
    <x:tabColor rgb="FF047F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9" hidden="0" customWidth="1"/>
    <x:col min="4" max="4" width="35" hidden="0" customWidth="1"/>
    <x:col min="5" max="5" width="31" hidden="0" customWidth="1"/>
    <x:col min="6" max="6" width="26" hidden="0" customWidth="1"/>
    <x:col min="7" max="7" width="64" hidden="0" customWidth="1"/>
    <x:col min="8" max="8" width="29" hidden="0" customWidth="1"/>
  </x:cols>
  <x:sheetData>
    <x:row r="1" ht="34" customHeight="1">
      <x:c r="A1" s="2" t="str">
        <x:v>Itens auxiliares e itens só no esquemático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1" t="str">
        <x:v>Elementos mecânicos, pontos de teste e referências complementares, separados da BOM principal.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0" t="str">
        <x:v>Placa</x:v>
      </x:c>
      <x:c r="B5" s="10" t="str">
        <x:v>Designator</x:v>
      </x:c>
      <x:c r="C5" s="10" t="str">
        <x:v>Qtd.</x:v>
      </x:c>
      <x:c r="D5" s="10" t="str">
        <x:v>Comentário</x:v>
      </x:c>
      <x:c r="E5" s="10" t="str">
        <x:v>MPN</x:v>
      </x:c>
      <x:c r="F5" s="10" t="str">
        <x:v>Fabricante</x:v>
      </x:c>
      <x:c r="G5" s="10" t="str">
        <x:v>Classificação</x:v>
      </x:c>
      <x:c r="H5" s="10" t="str">
        <x:v>Footprint</x:v>
      </x:c>
      <x:c r="I5" s="1"/>
      <x:c r="J5" s="1"/>
      <x:c r="K5" s="1"/>
    </x:row>
    <x:row r="6" ht="30" customHeight="1">
      <x:c r="A6" s="11" t="str">
        <x:v>Módulo</x:v>
      </x:c>
      <x:c r="B6" s="11" t="str">
        <x:v>FID1</x:v>
      </x:c>
      <x:c r="C6" s="20" t="n">
        <x:v>1</x:v>
      </x:c>
      <x:c r="D6" s="11" t="str">
        <x:v>FID_1MM_SMALL</x:v>
      </x:c>
      <x:c r="E6" s="11" t="str"/>
      <x:c r="F6" s="11" t="str"/>
      <x:c r="G6" s="11" t="str">
        <x:v>Fiducial</x:v>
      </x:c>
      <x:c r="H6" s="11" t="str">
        <x:v>FID_40X52D</x:v>
      </x:c>
      <x:c r="I6" s="1"/>
      <x:c r="J6" s="1"/>
      <x:c r="K6" s="1"/>
    </x:row>
    <x:row r="7" ht="30" customHeight="1">
      <x:c r="A7" s="8" t="str">
        <x:v>Módulo</x:v>
      </x:c>
      <x:c r="B7" s="8" t="str">
        <x:v>FID2</x:v>
      </x:c>
      <x:c r="C7" s="21" t="n">
        <x:v>1</x:v>
      </x:c>
      <x:c r="D7" s="8" t="str">
        <x:v>FID_1MM_SMALL</x:v>
      </x:c>
      <x:c r="E7" s="8" t="str"/>
      <x:c r="F7" s="8" t="str"/>
      <x:c r="G7" s="8" t="str">
        <x:v>Fiducial</x:v>
      </x:c>
      <x:c r="H7" s="8" t="str">
        <x:v>FID_40X52D</x:v>
      </x:c>
      <x:c r="I7" s="1"/>
      <x:c r="J7" s="1"/>
      <x:c r="K7" s="1"/>
    </x:row>
    <x:row r="8" ht="30" customHeight="1">
      <x:c r="A8" s="11" t="str">
        <x:v>Módulo</x:v>
      </x:c>
      <x:c r="B8" s="11" t="str">
        <x:v>FID3</x:v>
      </x:c>
      <x:c r="C8" s="20" t="n">
        <x:v>1</x:v>
      </x:c>
      <x:c r="D8" s="11" t="str">
        <x:v>FID_1MM_SMALL</x:v>
      </x:c>
      <x:c r="E8" s="11" t="str"/>
      <x:c r="F8" s="11" t="str"/>
      <x:c r="G8" s="11" t="str">
        <x:v>Fiducial</x:v>
      </x:c>
      <x:c r="H8" s="11" t="str">
        <x:v>FID_40X52D</x:v>
      </x:c>
      <x:c r="I8" s="1"/>
      <x:c r="J8" s="1"/>
      <x:c r="K8" s="1"/>
    </x:row>
    <x:row r="9" ht="30" customHeight="1">
      <x:c r="A9" s="8" t="str">
        <x:v>Módulo</x:v>
      </x:c>
      <x:c r="B9" s="8" t="str">
        <x:v>FID4</x:v>
      </x:c>
      <x:c r="C9" s="21" t="n">
        <x:v>1</x:v>
      </x:c>
      <x:c r="D9" s="8" t="str">
        <x:v>FID_1MM_SMALL</x:v>
      </x:c>
      <x:c r="E9" s="8" t="str"/>
      <x:c r="F9" s="8" t="str"/>
      <x:c r="G9" s="8" t="str">
        <x:v>Fiducial</x:v>
      </x:c>
      <x:c r="H9" s="8" t="str">
        <x:v>FID_40X52D</x:v>
      </x:c>
      <x:c r="I9" s="1"/>
      <x:c r="J9" s="1"/>
      <x:c r="K9" s="1"/>
    </x:row>
    <x:row r="10" ht="30" customHeight="1">
      <x:c r="A10" s="11" t="str">
        <x:v>Módulo</x:v>
      </x:c>
      <x:c r="B10" s="11" t="str">
        <x:v>MH1</x:v>
      </x:c>
      <x:c r="C10" s="20" t="n">
        <x:v>1</x:v>
      </x:c>
      <x:c r="D10" s="11" t="str">
        <x:v>MH_5MMC_2.2MMD</x:v>
      </x:c>
      <x:c r="E10" s="11" t="str"/>
      <x:c r="F10" s="11" t="str"/>
      <x:c r="G10" s="11" t="str">
        <x:v>Furo de montagem</x:v>
      </x:c>
      <x:c r="H10" s="11" t="str">
        <x:v>MH_5MMD_2.2MMD</x:v>
      </x:c>
      <x:c r="I10" s="1"/>
      <x:c r="J10" s="1"/>
      <x:c r="K10" s="1"/>
    </x:row>
    <x:row r="11" ht="30" customHeight="1">
      <x:c r="A11" s="8" t="str">
        <x:v>Módulo</x:v>
      </x:c>
      <x:c r="B11" s="8" t="str">
        <x:v>MH2</x:v>
      </x:c>
      <x:c r="C11" s="21" t="n">
        <x:v>1</x:v>
      </x:c>
      <x:c r="D11" s="8" t="str">
        <x:v>MH_5MMC_2.2MMD</x:v>
      </x:c>
      <x:c r="E11" s="8" t="str"/>
      <x:c r="F11" s="8" t="str"/>
      <x:c r="G11" s="8" t="str">
        <x:v>Furo de montagem</x:v>
      </x:c>
      <x:c r="H11" s="8" t="str">
        <x:v>MH_5MMD_2.2MMD</x:v>
      </x:c>
      <x:c r="I11" s="1"/>
      <x:c r="J11" s="1"/>
      <x:c r="K11" s="1"/>
    </x:row>
    <x:row r="12" ht="30" customHeight="1">
      <x:c r="A12" s="11" t="str">
        <x:v>Módulo</x:v>
      </x:c>
      <x:c r="B12" s="11" t="str">
        <x:v>MH3</x:v>
      </x:c>
      <x:c r="C12" s="20" t="n">
        <x:v>1</x:v>
      </x:c>
      <x:c r="D12" s="11" t="str">
        <x:v>MH_5MMC_2.2MMD</x:v>
      </x:c>
      <x:c r="E12" s="11" t="str"/>
      <x:c r="F12" s="11" t="str"/>
      <x:c r="G12" s="11" t="str">
        <x:v>Furo de montagem</x:v>
      </x:c>
      <x:c r="H12" s="11" t="str">
        <x:v>MH_5MMD_2.2MMD</x:v>
      </x:c>
      <x:c r="I12" s="1"/>
      <x:c r="J12" s="1"/>
      <x:c r="K12" s="1"/>
    </x:row>
    <x:row r="13" ht="30" customHeight="1">
      <x:c r="A13" s="8" t="str">
        <x:v>Módulo</x:v>
      </x:c>
      <x:c r="B13" s="8" t="str">
        <x:v>MH4</x:v>
      </x:c>
      <x:c r="C13" s="21" t="n">
        <x:v>1</x:v>
      </x:c>
      <x:c r="D13" s="8" t="str">
        <x:v>MH_5MMC_2.2MMD</x:v>
      </x:c>
      <x:c r="E13" s="8" t="str"/>
      <x:c r="F13" s="8" t="str"/>
      <x:c r="G13" s="8" t="str">
        <x:v>Furo de montagem</x:v>
      </x:c>
      <x:c r="H13" s="8" t="str">
        <x:v>MH_5MMD_2.2MMD</x:v>
      </x:c>
      <x:c r="I13" s="1"/>
      <x:c r="J13" s="1"/>
      <x:c r="K13" s="1"/>
    </x:row>
    <x:row r="14" ht="30" customHeight="1">
      <x:c r="A14" s="11" t="str">
        <x:v>Módulo</x:v>
      </x:c>
      <x:c r="B14" s="11" t="str">
        <x:v>TP3</x:v>
      </x:c>
      <x:c r="C14" s="20" t="n">
        <x:v>1</x:v>
      </x:c>
      <x:c r="D14" s="11" t="str">
        <x:v>TP_25MILC</x:v>
      </x:c>
      <x:c r="E14" s="11" t="str"/>
      <x:c r="F14" s="11" t="str"/>
      <x:c r="G14" s="11" t="str">
        <x:v>Ponto de teste</x:v>
      </x:c>
      <x:c r="H14" s="11" t="str">
        <x:v>TP_25C</x:v>
      </x:c>
      <x:c r="I14" s="1"/>
      <x:c r="J14" s="1"/>
      <x:c r="K14" s="1"/>
    </x:row>
    <x:row r="15" ht="30" customHeight="1">
      <x:c r="A15" s="8" t="str">
        <x:v>Módulo</x:v>
      </x:c>
      <x:c r="B15" s="8" t="str">
        <x:v>TP5</x:v>
      </x:c>
      <x:c r="C15" s="21" t="n">
        <x:v>1</x:v>
      </x:c>
      <x:c r="D15" s="8" t="str">
        <x:v>TP_25MILC</x:v>
      </x:c>
      <x:c r="E15" s="8" t="str"/>
      <x:c r="F15" s="8" t="str"/>
      <x:c r="G15" s="8" t="str">
        <x:v>Ponto de teste</x:v>
      </x:c>
      <x:c r="H15" s="8" t="str">
        <x:v>TP_25C</x:v>
      </x:c>
      <x:c r="I15" s="1"/>
      <x:c r="J15" s="1"/>
      <x:c r="K15" s="1"/>
    </x:row>
    <x:row r="16" ht="30" customHeight="1">
      <x:c r="A16" s="11" t="str">
        <x:v>Módulo</x:v>
      </x:c>
      <x:c r="B16" s="11" t="str">
        <x:v>TP6</x:v>
      </x:c>
      <x:c r="C16" s="20" t="n">
        <x:v>1</x:v>
      </x:c>
      <x:c r="D16" s="11" t="str">
        <x:v>TP_25MILC</x:v>
      </x:c>
      <x:c r="E16" s="11" t="str"/>
      <x:c r="F16" s="11" t="str"/>
      <x:c r="G16" s="11" t="str">
        <x:v>Ponto de teste</x:v>
      </x:c>
      <x:c r="H16" s="11" t="str">
        <x:v>TP_25C</x:v>
      </x:c>
      <x:c r="I16" s="1"/>
      <x:c r="J16" s="1"/>
      <x:c r="K16" s="1"/>
    </x:row>
    <x:row r="17" ht="30" customHeight="1">
      <x:c r="A17" s="8" t="str">
        <x:v>Módulo</x:v>
      </x:c>
      <x:c r="B17" s="8" t="str">
        <x:v>TP7</x:v>
      </x:c>
      <x:c r="C17" s="21" t="n">
        <x:v>1</x:v>
      </x:c>
      <x:c r="D17" s="8" t="str">
        <x:v>TP_25MILC</x:v>
      </x:c>
      <x:c r="E17" s="8" t="str"/>
      <x:c r="F17" s="8" t="str"/>
      <x:c r="G17" s="8" t="str">
        <x:v>Ponto de teste</x:v>
      </x:c>
      <x:c r="H17" s="8" t="str">
        <x:v>TP_25C</x:v>
      </x:c>
      <x:c r="I17" s="1"/>
      <x:c r="J17" s="1"/>
      <x:c r="K17" s="1"/>
    </x:row>
    <x:row r="18" ht="30" customHeight="1">
      <x:c r="A18" s="11" t="str">
        <x:v>Módulo</x:v>
      </x:c>
      <x:c r="B18" s="11" t="str">
        <x:v>TP8</x:v>
      </x:c>
      <x:c r="C18" s="20" t="n">
        <x:v>1</x:v>
      </x:c>
      <x:c r="D18" s="11" t="str">
        <x:v>TP_25MILC</x:v>
      </x:c>
      <x:c r="E18" s="11" t="str"/>
      <x:c r="F18" s="11" t="str"/>
      <x:c r="G18" s="11" t="str">
        <x:v>Ponto de teste</x:v>
      </x:c>
      <x:c r="H18" s="11" t="str">
        <x:v>TP_25C</x:v>
      </x:c>
      <x:c r="I18" s="1"/>
      <x:c r="J18" s="1"/>
      <x:c r="K18" s="1"/>
    </x:row>
    <x:row r="19" ht="30" customHeight="1">
      <x:c r="A19" s="8" t="str">
        <x:v>Módulo</x:v>
      </x:c>
      <x:c r="B19" s="8" t="str">
        <x:v>TP9</x:v>
      </x:c>
      <x:c r="C19" s="21" t="n">
        <x:v>1</x:v>
      </x:c>
      <x:c r="D19" s="8" t="str">
        <x:v>TP_25MILC</x:v>
      </x:c>
      <x:c r="E19" s="8" t="str"/>
      <x:c r="F19" s="8" t="str"/>
      <x:c r="G19" s="8" t="str">
        <x:v>Ponto de teste</x:v>
      </x:c>
      <x:c r="H19" s="8" t="str">
        <x:v>TP_25C</x:v>
      </x:c>
      <x:c r="I19" s="1"/>
      <x:c r="J19" s="1"/>
      <x:c r="K19" s="1"/>
    </x:row>
    <x:row r="20" ht="30" customHeight="1">
      <x:c r="A20" s="11" t="str">
        <x:v>Módulo</x:v>
      </x:c>
      <x:c r="B20" s="11" t="str">
        <x:v>TP10</x:v>
      </x:c>
      <x:c r="C20" s="20" t="n">
        <x:v>1</x:v>
      </x:c>
      <x:c r="D20" s="11" t="str">
        <x:v>TP_25MILC</x:v>
      </x:c>
      <x:c r="E20" s="11" t="str"/>
      <x:c r="F20" s="11" t="str"/>
      <x:c r="G20" s="11" t="str">
        <x:v>Ponto de teste</x:v>
      </x:c>
      <x:c r="H20" s="11" t="str">
        <x:v>TP_25C</x:v>
      </x:c>
      <x:c r="I20" s="1"/>
      <x:c r="J20" s="1"/>
      <x:c r="K20" s="1"/>
    </x:row>
    <x:row r="21" ht="30" customHeight="1">
      <x:c r="A21" s="8" t="str">
        <x:v>Módulo</x:v>
      </x:c>
      <x:c r="B21" s="8" t="str">
        <x:v>TP11</x:v>
      </x:c>
      <x:c r="C21" s="21" t="n">
        <x:v>1</x:v>
      </x:c>
      <x:c r="D21" s="8" t="str">
        <x:v>TP_25MILC</x:v>
      </x:c>
      <x:c r="E21" s="8" t="str"/>
      <x:c r="F21" s="8" t="str"/>
      <x:c r="G21" s="8" t="str">
        <x:v>Ponto de teste</x:v>
      </x:c>
      <x:c r="H21" s="8" t="str">
        <x:v>TP_25C</x:v>
      </x:c>
      <x:c r="I21" s="1"/>
      <x:c r="J21" s="1"/>
      <x:c r="K21" s="1"/>
    </x:row>
    <x:row r="22" ht="30" customHeight="1">
      <x:c r="A22" s="11" t="str">
        <x:v>Módulo</x:v>
      </x:c>
      <x:c r="B22" s="11" t="str">
        <x:v>PCB1</x:v>
      </x:c>
      <x:c r="C22" s="20" t="n">
        <x:v>1</x:v>
      </x:c>
      <x:c r="D22" s="11" t="str">
        <x:v>iMX6 Rex V1I1 PCB</x:v>
      </x:c>
      <x:c r="E22" s="11" t="str"/>
      <x:c r="F22" s="11" t="str"/>
      <x:c r="G22" s="11" t="str">
        <x:v>Item só no esquemático: iMX6 Rex V1I1 PCB</x:v>
      </x:c>
      <x:c r="H22" s="11" t="str">
        <x:v>Sem footprint no PCB</x:v>
      </x:c>
      <x:c r="I22" s="1"/>
      <x:c r="J22" s="1"/>
      <x:c r="K22" s="1"/>
    </x:row>
    <x:row r="23" ht="30" customHeight="1">
      <x:c r="A23" s="8" t="str">
        <x:v>Módulo</x:v>
      </x:c>
      <x:c r="B23" s="8" t="str">
        <x:v>FIRMWARE_FOR_U10</x:v>
      </x:c>
      <x:c r="C23" s="21" t="n">
        <x:v>1</x:v>
      </x:c>
      <x:c r="D23" s="8" t="str">
        <x:v>iMX6_REX_uBOOT 1.0</x:v>
      </x:c>
      <x:c r="E23" s="8" t="str"/>
      <x:c r="F23" s="8" t="str"/>
      <x:c r="G23" s="8" t="str">
        <x:v>Item só no esquemático: iMX6_REX_uBOOT 1.0</x:v>
      </x:c>
      <x:c r="H23" s="8" t="str">
        <x:v>Sem footprint no PCB</x:v>
      </x:c>
      <x:c r="I23" s="1"/>
      <x:c r="J23" s="1"/>
      <x:c r="K23" s="1"/>
    </x:row>
    <x:row r="24" ht="30" customHeight="1">
      <x:c r="A24" s="11" t="str">
        <x:v>Placa base</x:v>
      </x:c>
      <x:c r="B24" s="11" t="str">
        <x:v>CR1</x:v>
      </x:c>
      <x:c r="C24" s="20" t="n">
        <x:v>1</x:v>
      </x:c>
      <x:c r="D24" s="11" t="str">
        <x:v>PCIe Mini Card</x:v>
      </x:c>
      <x:c r="E24" s="11" t="str"/>
      <x:c r="F24" s="11" t="str"/>
      <x:c r="G24" s="11" t="str">
        <x:v>Cartão de expansão representado</x:v>
      </x:c>
      <x:c r="H24" s="11" t="str">
        <x:v>MINI_PCIE_FULL CARD</x:v>
      </x:c>
      <x:c r="I24" s="1"/>
      <x:c r="J24" s="1"/>
      <x:c r="K24" s="1"/>
    </x:row>
    <x:row r="25" ht="30" customHeight="1">
      <x:c r="A25" s="8" t="str">
        <x:v>Placa base</x:v>
      </x:c>
      <x:c r="B25" s="8" t="str">
        <x:v>CR2</x:v>
      </x:c>
      <x:c r="C25" s="21" t="n">
        <x:v>1</x:v>
      </x:c>
      <x:c r="D25" s="8" t="str">
        <x:v>PCIe Mini Card</x:v>
      </x:c>
      <x:c r="E25" s="8" t="str"/>
      <x:c r="F25" s="8" t="str"/>
      <x:c r="G25" s="8" t="str">
        <x:v>Cartão de expansão representado</x:v>
      </x:c>
      <x:c r="H25" s="8" t="str">
        <x:v>MINI_PCIE_FULL CARD</x:v>
      </x:c>
      <x:c r="I25" s="1"/>
      <x:c r="J25" s="1"/>
      <x:c r="K25" s="1"/>
    </x:row>
    <x:row r="26" ht="30" customHeight="1">
      <x:c r="A26" s="11" t="str">
        <x:v>Placa base</x:v>
      </x:c>
      <x:c r="B26" s="11" t="str">
        <x:v>FID1</x:v>
      </x:c>
      <x:c r="C26" s="20" t="n">
        <x:v>1</x:v>
      </x:c>
      <x:c r="D26" s="11" t="str">
        <x:v>FID_1MMC</x:v>
      </x:c>
      <x:c r="E26" s="11" t="str"/>
      <x:c r="F26" s="11" t="str"/>
      <x:c r="G26" s="11" t="str">
        <x:v>Fiducial</x:v>
      </x:c>
      <x:c r="H26" s="11" t="str">
        <x:v>FID_40X120D</x:v>
      </x:c>
      <x:c r="I26" s="1"/>
      <x:c r="J26" s="1"/>
      <x:c r="K26" s="1"/>
    </x:row>
    <x:row r="27" ht="30" customHeight="1">
      <x:c r="A27" s="8" t="str">
        <x:v>Placa base</x:v>
      </x:c>
      <x:c r="B27" s="8" t="str">
        <x:v>FID2</x:v>
      </x:c>
      <x:c r="C27" s="21" t="n">
        <x:v>1</x:v>
      </x:c>
      <x:c r="D27" s="8" t="str">
        <x:v>FID_1MMC</x:v>
      </x:c>
      <x:c r="E27" s="8" t="str"/>
      <x:c r="F27" s="8" t="str"/>
      <x:c r="G27" s="8" t="str">
        <x:v>Fiducial</x:v>
      </x:c>
      <x:c r="H27" s="8" t="str">
        <x:v>FID_40X120D</x:v>
      </x:c>
      <x:c r="I27" s="1"/>
      <x:c r="J27" s="1"/>
      <x:c r="K27" s="1"/>
    </x:row>
    <x:row r="28" ht="30" customHeight="1">
      <x:c r="A28" s="11" t="str">
        <x:v>Placa base</x:v>
      </x:c>
      <x:c r="B28" s="11" t="str">
        <x:v>FID3</x:v>
      </x:c>
      <x:c r="C28" s="20" t="n">
        <x:v>1</x:v>
      </x:c>
      <x:c r="D28" s="11" t="str">
        <x:v>FID_1MMC</x:v>
      </x:c>
      <x:c r="E28" s="11" t="str"/>
      <x:c r="F28" s="11" t="str"/>
      <x:c r="G28" s="11" t="str">
        <x:v>Fiducial</x:v>
      </x:c>
      <x:c r="H28" s="11" t="str">
        <x:v>FID_40X120D</x:v>
      </x:c>
      <x:c r="I28" s="1"/>
      <x:c r="J28" s="1"/>
      <x:c r="K28" s="1"/>
    </x:row>
    <x:row r="29" ht="30" customHeight="1">
      <x:c r="A29" s="8" t="str">
        <x:v>Placa base</x:v>
      </x:c>
      <x:c r="B29" s="8" t="str">
        <x:v>FID4</x:v>
      </x:c>
      <x:c r="C29" s="21" t="n">
        <x:v>1</x:v>
      </x:c>
      <x:c r="D29" s="8" t="str">
        <x:v>FID_1MMC</x:v>
      </x:c>
      <x:c r="E29" s="8" t="str"/>
      <x:c r="F29" s="8" t="str"/>
      <x:c r="G29" s="8" t="str">
        <x:v>Fiducial</x:v>
      </x:c>
      <x:c r="H29" s="8" t="str">
        <x:v>FID_40X120D</x:v>
      </x:c>
      <x:c r="I29" s="1"/>
      <x:c r="J29" s="1"/>
      <x:c r="K29" s="1"/>
    </x:row>
    <x:row r="30" ht="30" customHeight="1">
      <x:c r="A30" s="11" t="str">
        <x:v>Placa base</x:v>
      </x:c>
      <x:c r="B30" s="11" t="str">
        <x:v>FID5</x:v>
      </x:c>
      <x:c r="C30" s="20" t="n">
        <x:v>1</x:v>
      </x:c>
      <x:c r="D30" s="11" t="str">
        <x:v>FID_1MMC</x:v>
      </x:c>
      <x:c r="E30" s="11" t="str"/>
      <x:c r="F30" s="11" t="str"/>
      <x:c r="G30" s="11" t="str">
        <x:v>Fiducial</x:v>
      </x:c>
      <x:c r="H30" s="11" t="str">
        <x:v>FID_40X120D</x:v>
      </x:c>
      <x:c r="I30" s="1"/>
      <x:c r="J30" s="1"/>
      <x:c r="K30" s="1"/>
    </x:row>
    <x:row r="31" ht="30" customHeight="1">
      <x:c r="A31" s="8" t="str">
        <x:v>Placa base</x:v>
      </x:c>
      <x:c r="B31" s="8" t="str">
        <x:v>FID6</x:v>
      </x:c>
      <x:c r="C31" s="21" t="n">
        <x:v>1</x:v>
      </x:c>
      <x:c r="D31" s="8" t="str">
        <x:v>FID_1MMC</x:v>
      </x:c>
      <x:c r="E31" s="8" t="str"/>
      <x:c r="F31" s="8" t="str"/>
      <x:c r="G31" s="8" t="str">
        <x:v>Fiducial</x:v>
      </x:c>
      <x:c r="H31" s="8" t="str">
        <x:v>FID_40X120D</x:v>
      </x:c>
      <x:c r="I31" s="1"/>
      <x:c r="J31" s="1"/>
      <x:c r="K31" s="1"/>
    </x:row>
    <x:row r="32" ht="30" customHeight="1">
      <x:c r="A32" s="11" t="str">
        <x:v>Placa base</x:v>
      </x:c>
      <x:c r="B32" s="11" t="str">
        <x:v>FID7</x:v>
      </x:c>
      <x:c r="C32" s="20" t="n">
        <x:v>1</x:v>
      </x:c>
      <x:c r="D32" s="11" t="str">
        <x:v>FID_1MMC</x:v>
      </x:c>
      <x:c r="E32" s="11" t="str"/>
      <x:c r="F32" s="11" t="str"/>
      <x:c r="G32" s="11" t="str">
        <x:v>Fiducial</x:v>
      </x:c>
      <x:c r="H32" s="11" t="str">
        <x:v>FID_40X120D</x:v>
      </x:c>
      <x:c r="I32" s="1"/>
      <x:c r="J32" s="1"/>
      <x:c r="K32" s="1"/>
    </x:row>
    <x:row r="33" ht="30" customHeight="1">
      <x:c r="A33" s="8" t="str">
        <x:v>Placa base</x:v>
      </x:c>
      <x:c r="B33" s="8" t="str">
        <x:v>FID8</x:v>
      </x:c>
      <x:c r="C33" s="21" t="n">
        <x:v>1</x:v>
      </x:c>
      <x:c r="D33" s="8" t="str">
        <x:v>FID_1MMC</x:v>
      </x:c>
      <x:c r="E33" s="8" t="str"/>
      <x:c r="F33" s="8" t="str"/>
      <x:c r="G33" s="8" t="str">
        <x:v>Fiducial</x:v>
      </x:c>
      <x:c r="H33" s="8" t="str">
        <x:v>FID_40X120D</x:v>
      </x:c>
      <x:c r="I33" s="1"/>
      <x:c r="J33" s="1"/>
      <x:c r="K33" s="1"/>
    </x:row>
    <x:row r="34" ht="30" customHeight="1">
      <x:c r="A34" s="11" t="str">
        <x:v>Placa base</x:v>
      </x:c>
      <x:c r="B34" s="11" t="str">
        <x:v>M1</x:v>
      </x:c>
      <x:c r="C34" s="20" t="n">
        <x:v>1</x:v>
      </x:c>
      <x:c r="D34" s="11" t="str">
        <x:v>iMX6 Rex Module V1I1 3D</x:v>
      </x:c>
      <x:c r="E34" s="11" t="str"/>
      <x:c r="F34" s="11" t="str"/>
      <x:c r="G34" s="11" t="str">
        <x:v>Modelo 3D</x:v>
      </x:c>
      <x:c r="H34" s="11" t="str">
        <x:v>IMX6 REX MODULE 3D</x:v>
      </x:c>
      <x:c r="I34" s="1"/>
      <x:c r="J34" s="1"/>
      <x:c r="K34" s="1"/>
    </x:row>
    <x:row r="35" ht="30" customHeight="1">
      <x:c r="A35" s="8" t="str">
        <x:v>Placa base</x:v>
      </x:c>
      <x:c r="B35" s="8" t="str">
        <x:v>MH1</x:v>
      </x:c>
      <x:c r="C35" s="21" t="n">
        <x:v>1</x:v>
      </x:c>
      <x:c r="D35" s="8" t="str">
        <x:v>MH_5MMC_2.2MMD</x:v>
      </x:c>
      <x:c r="E35" s="8" t="str"/>
      <x:c r="F35" s="8" t="str"/>
      <x:c r="G35" s="8" t="str">
        <x:v>Furo de montagem</x:v>
      </x:c>
      <x:c r="H35" s="8" t="str">
        <x:v>MH_5MMD_2.2MMD</x:v>
      </x:c>
      <x:c r="I35" s="1"/>
      <x:c r="J35" s="1"/>
      <x:c r="K35" s="1"/>
    </x:row>
    <x:row r="36" ht="30" customHeight="1">
      <x:c r="A36" s="11" t="str">
        <x:v>Placa base</x:v>
      </x:c>
      <x:c r="B36" s="11" t="str">
        <x:v>MH2</x:v>
      </x:c>
      <x:c r="C36" s="20" t="n">
        <x:v>1</x:v>
      </x:c>
      <x:c r="D36" s="11" t="str">
        <x:v>MH_5MMC_2.2MMD</x:v>
      </x:c>
      <x:c r="E36" s="11" t="str"/>
      <x:c r="F36" s="11" t="str"/>
      <x:c r="G36" s="11" t="str">
        <x:v>Furo de montagem</x:v>
      </x:c>
      <x:c r="H36" s="11" t="str">
        <x:v>MH_5MMD_2.2MMD</x:v>
      </x:c>
      <x:c r="I36" s="1"/>
      <x:c r="J36" s="1"/>
      <x:c r="K36" s="1"/>
    </x:row>
    <x:row r="37" ht="30" customHeight="1">
      <x:c r="A37" s="8" t="str">
        <x:v>Placa base</x:v>
      </x:c>
      <x:c r="B37" s="8" t="str">
        <x:v>MH3</x:v>
      </x:c>
      <x:c r="C37" s="21" t="n">
        <x:v>1</x:v>
      </x:c>
      <x:c r="D37" s="8" t="str">
        <x:v>MH_5MMC_2.2MMD</x:v>
      </x:c>
      <x:c r="E37" s="8" t="str"/>
      <x:c r="F37" s="8" t="str"/>
      <x:c r="G37" s="8" t="str">
        <x:v>Furo de montagem</x:v>
      </x:c>
      <x:c r="H37" s="8" t="str">
        <x:v>MH_5MMD_2.2MMD</x:v>
      </x:c>
      <x:c r="I37" s="1"/>
      <x:c r="J37" s="1"/>
      <x:c r="K37" s="1"/>
    </x:row>
    <x:row r="38" ht="30" customHeight="1">
      <x:c r="A38" s="11" t="str">
        <x:v>Placa base</x:v>
      </x:c>
      <x:c r="B38" s="11" t="str">
        <x:v>MH4</x:v>
      </x:c>
      <x:c r="C38" s="20" t="n">
        <x:v>1</x:v>
      </x:c>
      <x:c r="D38" s="11" t="str">
        <x:v>MH_5MMC_2.2MMD</x:v>
      </x:c>
      <x:c r="E38" s="11" t="str"/>
      <x:c r="F38" s="11" t="str"/>
      <x:c r="G38" s="11" t="str">
        <x:v>Furo de montagem</x:v>
      </x:c>
      <x:c r="H38" s="11" t="str">
        <x:v>MH_5MMD_2.2MMD</x:v>
      </x:c>
      <x:c r="I38" s="1"/>
      <x:c r="J38" s="1"/>
      <x:c r="K38" s="1"/>
    </x:row>
    <x:row r="39" ht="30" customHeight="1">
      <x:c r="A39" s="8" t="str">
        <x:v>Placa base</x:v>
      </x:c>
      <x:c r="B39" s="8" t="str">
        <x:v>MH5</x:v>
      </x:c>
      <x:c r="C39" s="21" t="n">
        <x:v>1</x:v>
      </x:c>
      <x:c r="D39" s="8" t="str">
        <x:v>MH_7.4MMC_3.2MMD</x:v>
      </x:c>
      <x:c r="E39" s="8" t="str"/>
      <x:c r="F39" s="8" t="str"/>
      <x:c r="G39" s="8" t="str">
        <x:v>Furo de montagem</x:v>
      </x:c>
      <x:c r="H39" s="8" t="str">
        <x:v>MH_7.4MMD_3.2MMD</x:v>
      </x:c>
      <x:c r="I39" s="1"/>
      <x:c r="J39" s="1"/>
      <x:c r="K39" s="1"/>
    </x:row>
    <x:row r="40" ht="30" customHeight="1">
      <x:c r="A40" s="11" t="str">
        <x:v>Placa base</x:v>
      </x:c>
      <x:c r="B40" s="11" t="str">
        <x:v>MH6</x:v>
      </x:c>
      <x:c r="C40" s="20" t="n">
        <x:v>1</x:v>
      </x:c>
      <x:c r="D40" s="11" t="str">
        <x:v>MH_7.4MMC_3.2MMD</x:v>
      </x:c>
      <x:c r="E40" s="11" t="str"/>
      <x:c r="F40" s="11" t="str"/>
      <x:c r="G40" s="11" t="str">
        <x:v>Furo de montagem</x:v>
      </x:c>
      <x:c r="H40" s="11" t="str">
        <x:v>MH_7.4MMD_3.2MMD</x:v>
      </x:c>
      <x:c r="I40" s="1"/>
      <x:c r="J40" s="1"/>
      <x:c r="K40" s="1"/>
    </x:row>
    <x:row r="41" ht="30" customHeight="1">
      <x:c r="A41" s="8" t="str">
        <x:v>Placa base</x:v>
      </x:c>
      <x:c r="B41" s="8" t="str">
        <x:v>MH7</x:v>
      </x:c>
      <x:c r="C41" s="21" t="n">
        <x:v>1</x:v>
      </x:c>
      <x:c r="D41" s="8" t="str">
        <x:v>MH_7.4MMC_3.2MMD</x:v>
      </x:c>
      <x:c r="E41" s="8" t="str"/>
      <x:c r="F41" s="8" t="str"/>
      <x:c r="G41" s="8" t="str">
        <x:v>Furo de montagem</x:v>
      </x:c>
      <x:c r="H41" s="8" t="str">
        <x:v>MH_7.4MMD_3.2MMD</x:v>
      </x:c>
      <x:c r="I41" s="1"/>
      <x:c r="J41" s="1"/>
      <x:c r="K41" s="1"/>
    </x:row>
    <x:row r="42" ht="30" customHeight="1">
      <x:c r="A42" s="11" t="str">
        <x:v>Placa base</x:v>
      </x:c>
      <x:c r="B42" s="11" t="str">
        <x:v>MH8</x:v>
      </x:c>
      <x:c r="C42" s="20" t="n">
        <x:v>1</x:v>
      </x:c>
      <x:c r="D42" s="11" t="str">
        <x:v>MH_7.4MMC_3.2MMD</x:v>
      </x:c>
      <x:c r="E42" s="11" t="str"/>
      <x:c r="F42" s="11" t="str"/>
      <x:c r="G42" s="11" t="str">
        <x:v>Furo de montagem</x:v>
      </x:c>
      <x:c r="H42" s="11" t="str">
        <x:v>MH_7.4MMD_3.2MMD</x:v>
      </x:c>
      <x:c r="I42" s="1"/>
      <x:c r="J42" s="1"/>
      <x:c r="K42" s="1"/>
    </x:row>
    <x:row r="43" ht="30" customHeight="1">
      <x:c r="A43" s="8" t="str">
        <x:v>Placa base</x:v>
      </x:c>
      <x:c r="B43" s="8" t="str">
        <x:v>MH9</x:v>
      </x:c>
      <x:c r="C43" s="21" t="n">
        <x:v>1</x:v>
      </x:c>
      <x:c r="D43" s="8" t="str">
        <x:v>MH_5.2MMC_2.7MMD</x:v>
      </x:c>
      <x:c r="E43" s="8" t="str"/>
      <x:c r="F43" s="8" t="str"/>
      <x:c r="G43" s="8" t="str">
        <x:v>Furo de montagem</x:v>
      </x:c>
      <x:c r="H43" s="8" t="str">
        <x:v>MH_5.2MMD_2.7MMD</x:v>
      </x:c>
      <x:c r="I43" s="1"/>
      <x:c r="J43" s="1"/>
      <x:c r="K43" s="1"/>
    </x:row>
    <x:row r="44" ht="30" customHeight="1">
      <x:c r="A44" s="11" t="str">
        <x:v>Placa base</x:v>
      </x:c>
      <x:c r="B44" s="11" t="str">
        <x:v>MH10</x:v>
      </x:c>
      <x:c r="C44" s="20" t="n">
        <x:v>1</x:v>
      </x:c>
      <x:c r="D44" s="11" t="str">
        <x:v>MH_5.2MMC_2.7MMD</x:v>
      </x:c>
      <x:c r="E44" s="11" t="str"/>
      <x:c r="F44" s="11" t="str"/>
      <x:c r="G44" s="11" t="str">
        <x:v>Furo de montagem</x:v>
      </x:c>
      <x:c r="H44" s="11" t="str">
        <x:v>MH_5.2MMD_2.7MMD</x:v>
      </x:c>
      <x:c r="I44" s="1"/>
      <x:c r="J44" s="1"/>
      <x:c r="K44" s="1"/>
    </x:row>
    <x:row r="45" ht="30" customHeight="1">
      <x:c r="A45" s="8" t="str">
        <x:v>Placa base</x:v>
      </x:c>
      <x:c r="B45" s="8" t="str">
        <x:v>MH11</x:v>
      </x:c>
      <x:c r="C45" s="21" t="n">
        <x:v>1</x:v>
      </x:c>
      <x:c r="D45" s="8" t="str">
        <x:v>MH_5.2MMC_2.7MMD</x:v>
      </x:c>
      <x:c r="E45" s="8" t="str"/>
      <x:c r="F45" s="8" t="str"/>
      <x:c r="G45" s="8" t="str">
        <x:v>Furo de montagem</x:v>
      </x:c>
      <x:c r="H45" s="8" t="str">
        <x:v>MH_5.2MMD_2.7MMD</x:v>
      </x:c>
      <x:c r="I45" s="1"/>
      <x:c r="J45" s="1"/>
      <x:c r="K45" s="1"/>
    </x:row>
    <x:row r="46" ht="30" customHeight="1">
      <x:c r="A46" s="11" t="str">
        <x:v>Placa base</x:v>
      </x:c>
      <x:c r="B46" s="11" t="str">
        <x:v>MH12</x:v>
      </x:c>
      <x:c r="C46" s="20" t="n">
        <x:v>1</x:v>
      </x:c>
      <x:c r="D46" s="11" t="str">
        <x:v>MH_5.2MMC_2.7MMD</x:v>
      </x:c>
      <x:c r="E46" s="11" t="str"/>
      <x:c r="F46" s="11" t="str"/>
      <x:c r="G46" s="11" t="str">
        <x:v>Furo de montagem</x:v>
      </x:c>
      <x:c r="H46" s="11" t="str">
        <x:v>MH_5.2MMD_2.7MMD</x:v>
      </x:c>
      <x:c r="I46" s="1"/>
      <x:c r="J46" s="1"/>
      <x:c r="K46" s="1"/>
    </x:row>
    <x:row r="47" ht="30" customHeight="1">
      <x:c r="A47" s="8" t="str">
        <x:v>Placa base</x:v>
      </x:c>
      <x:c r="B47" s="8" t="str">
        <x:v>MH13</x:v>
      </x:c>
      <x:c r="C47" s="21" t="n">
        <x:v>1</x:v>
      </x:c>
      <x:c r="D47" s="8" t="str">
        <x:v>MH_5MMC_2.2MMD</x:v>
      </x:c>
      <x:c r="E47" s="8" t="str"/>
      <x:c r="F47" s="8" t="str"/>
      <x:c r="G47" s="8" t="str">
        <x:v>Furo de montagem</x:v>
      </x:c>
      <x:c r="H47" s="8" t="str">
        <x:v>MH_5MMD_2.2MMD</x:v>
      </x:c>
      <x:c r="I47" s="1"/>
      <x:c r="J47" s="1"/>
      <x:c r="K47" s="1"/>
    </x:row>
    <x:row r="48" ht="30" customHeight="1">
      <x:c r="A48" s="11" t="str">
        <x:v>Placa base</x:v>
      </x:c>
      <x:c r="B48" s="11" t="str">
        <x:v>TP1</x:v>
      </x:c>
      <x:c r="C48" s="20" t="n">
        <x:v>1</x:v>
      </x:c>
      <x:c r="D48" s="11" t="str">
        <x:v>TP_25MILC</x:v>
      </x:c>
      <x:c r="E48" s="11" t="str"/>
      <x:c r="F48" s="11" t="str"/>
      <x:c r="G48" s="11" t="str">
        <x:v>Ponto de teste</x:v>
      </x:c>
      <x:c r="H48" s="11" t="str">
        <x:v>TP_25C</x:v>
      </x:c>
      <x:c r="I48" s="1"/>
      <x:c r="J48" s="1"/>
      <x:c r="K48" s="1"/>
    </x:row>
    <x:row r="49" ht="30" customHeight="1">
      <x:c r="A49" s="8" t="str">
        <x:v>Placa base</x:v>
      </x:c>
      <x:c r="B49" s="8" t="str">
        <x:v>TP2</x:v>
      </x:c>
      <x:c r="C49" s="21" t="n">
        <x:v>1</x:v>
      </x:c>
      <x:c r="D49" s="8" t="str">
        <x:v>TP_25MILC</x:v>
      </x:c>
      <x:c r="E49" s="8" t="str"/>
      <x:c r="F49" s="8" t="str"/>
      <x:c r="G49" s="8" t="str">
        <x:v>Ponto de teste</x:v>
      </x:c>
      <x:c r="H49" s="8" t="str">
        <x:v>TP_25C</x:v>
      </x:c>
      <x:c r="I49" s="1"/>
      <x:c r="J49" s="1"/>
      <x:c r="K49" s="1"/>
    </x:row>
    <x:row r="50" ht="30" customHeight="1">
      <x:c r="A50" s="11" t="str">
        <x:v>Placa base</x:v>
      </x:c>
      <x:c r="B50" s="11" t="str">
        <x:v>TP3</x:v>
      </x:c>
      <x:c r="C50" s="20" t="n">
        <x:v>1</x:v>
      </x:c>
      <x:c r="D50" s="11" t="str">
        <x:v>TP_25MILC</x:v>
      </x:c>
      <x:c r="E50" s="11" t="str"/>
      <x:c r="F50" s="11" t="str"/>
      <x:c r="G50" s="11" t="str">
        <x:v>Ponto de teste</x:v>
      </x:c>
      <x:c r="H50" s="11" t="str">
        <x:v>TP_25C</x:v>
      </x:c>
      <x:c r="I50" s="1"/>
      <x:c r="J50" s="1"/>
      <x:c r="K50" s="1"/>
    </x:row>
    <x:row r="51" ht="30" customHeight="1">
      <x:c r="A51" s="8" t="str">
        <x:v>Placa base</x:v>
      </x:c>
      <x:c r="B51" s="8" t="str">
        <x:v>TP4</x:v>
      </x:c>
      <x:c r="C51" s="21" t="n">
        <x:v>1</x:v>
      </x:c>
      <x:c r="D51" s="8" t="str">
        <x:v>TP_25MILC</x:v>
      </x:c>
      <x:c r="E51" s="8" t="str"/>
      <x:c r="F51" s="8" t="str"/>
      <x:c r="G51" s="8" t="str">
        <x:v>Ponto de teste</x:v>
      </x:c>
      <x:c r="H51" s="8" t="str">
        <x:v>TP_25C</x:v>
      </x:c>
      <x:c r="I51" s="1"/>
      <x:c r="J51" s="1"/>
      <x:c r="K51" s="1"/>
    </x:row>
    <x:row r="52" ht="30" customHeight="1">
      <x:c r="A52" s="11" t="str">
        <x:v>Placa base</x:v>
      </x:c>
      <x:c r="B52" s="11" t="str">
        <x:v>TP5</x:v>
      </x:c>
      <x:c r="C52" s="20" t="n">
        <x:v>1</x:v>
      </x:c>
      <x:c r="D52" s="11" t="str">
        <x:v>TP_25MILC</x:v>
      </x:c>
      <x:c r="E52" s="11" t="str"/>
      <x:c r="F52" s="11" t="str"/>
      <x:c r="G52" s="11" t="str">
        <x:v>Ponto de teste</x:v>
      </x:c>
      <x:c r="H52" s="11" t="str">
        <x:v>TP_25C</x:v>
      </x:c>
      <x:c r="I52" s="1"/>
      <x:c r="J52" s="1"/>
      <x:c r="K52" s="1"/>
    </x:row>
    <x:row r="53" ht="30" customHeight="1">
      <x:c r="A53" s="8" t="str">
        <x:v>Placa base</x:v>
      </x:c>
      <x:c r="B53" s="8" t="str">
        <x:v>TP6</x:v>
      </x:c>
      <x:c r="C53" s="21" t="n">
        <x:v>1</x:v>
      </x:c>
      <x:c r="D53" s="8" t="str">
        <x:v>TP_25MILC</x:v>
      </x:c>
      <x:c r="E53" s="8" t="str"/>
      <x:c r="F53" s="8" t="str"/>
      <x:c r="G53" s="8" t="str">
        <x:v>Ponto de teste</x:v>
      </x:c>
      <x:c r="H53" s="8" t="str">
        <x:v>TP_25C</x:v>
      </x:c>
      <x:c r="I53" s="1"/>
      <x:c r="J53" s="1"/>
      <x:c r="K53" s="1"/>
    </x:row>
    <x:row r="54" ht="30" customHeight="1">
      <x:c r="A54" s="11" t="str">
        <x:v>Placa base</x:v>
      </x:c>
      <x:c r="B54" s="11" t="str">
        <x:v>TP7</x:v>
      </x:c>
      <x:c r="C54" s="20" t="n">
        <x:v>1</x:v>
      </x:c>
      <x:c r="D54" s="11" t="str">
        <x:v>TP_25MILC</x:v>
      </x:c>
      <x:c r="E54" s="11" t="str"/>
      <x:c r="F54" s="11" t="str"/>
      <x:c r="G54" s="11" t="str">
        <x:v>Ponto de teste</x:v>
      </x:c>
      <x:c r="H54" s="11" t="str">
        <x:v>TP_25C</x:v>
      </x:c>
      <x:c r="I54" s="1"/>
      <x:c r="J54" s="1"/>
      <x:c r="K54" s="1"/>
    </x:row>
    <x:row r="55" ht="30" customHeight="1">
      <x:c r="A55" s="8" t="str">
        <x:v>Placa base</x:v>
      </x:c>
      <x:c r="B55" s="8" t="str">
        <x:v>TP8</x:v>
      </x:c>
      <x:c r="C55" s="21" t="n">
        <x:v>1</x:v>
      </x:c>
      <x:c r="D55" s="8" t="str">
        <x:v>TP_25MILC</x:v>
      </x:c>
      <x:c r="E55" s="8" t="str"/>
      <x:c r="F55" s="8" t="str"/>
      <x:c r="G55" s="8" t="str">
        <x:v>Ponto de teste</x:v>
      </x:c>
      <x:c r="H55" s="8" t="str">
        <x:v>TP_25C</x:v>
      </x:c>
      <x:c r="I55" s="1"/>
      <x:c r="J55" s="1"/>
      <x:c r="K55" s="1"/>
    </x:row>
    <x:row r="56" ht="30" customHeight="1">
      <x:c r="A56" s="11" t="str">
        <x:v>Placa base</x:v>
      </x:c>
      <x:c r="B56" s="11" t="str">
        <x:v>TP9</x:v>
      </x:c>
      <x:c r="C56" s="20" t="n">
        <x:v>1</x:v>
      </x:c>
      <x:c r="D56" s="11" t="str">
        <x:v>TP_25MILC</x:v>
      </x:c>
      <x:c r="E56" s="11" t="str"/>
      <x:c r="F56" s="11" t="str"/>
      <x:c r="G56" s="11" t="str">
        <x:v>Ponto de teste</x:v>
      </x:c>
      <x:c r="H56" s="11" t="str">
        <x:v>TP_25C</x:v>
      </x:c>
      <x:c r="I56" s="1"/>
      <x:c r="J56" s="1"/>
      <x:c r="K56" s="1"/>
    </x:row>
    <x:row r="57" ht="30" customHeight="1">
      <x:c r="A57" s="8" t="str">
        <x:v>Placa base</x:v>
      </x:c>
      <x:c r="B57" s="8" t="str">
        <x:v>TP10</x:v>
      </x:c>
      <x:c r="C57" s="21" t="n">
        <x:v>1</x:v>
      </x:c>
      <x:c r="D57" s="8" t="str">
        <x:v>TP_25MILC</x:v>
      </x:c>
      <x:c r="E57" s="8" t="str"/>
      <x:c r="F57" s="8" t="str"/>
      <x:c r="G57" s="8" t="str">
        <x:v>Ponto de teste</x:v>
      </x:c>
      <x:c r="H57" s="8" t="str">
        <x:v>TP_25C</x:v>
      </x:c>
      <x:c r="I57" s="1"/>
      <x:c r="J57" s="1"/>
      <x:c r="K57" s="1"/>
    </x:row>
    <x:row r="58" ht="36" customHeight="1">
      <x:c r="A58" s="11" t="str">
        <x:v>Placa base</x:v>
      </x:c>
      <x:c r="B58" s="11" t="str">
        <x:v>LINK2</x:v>
      </x:c>
      <x:c r="C58" s="20" t="n">
        <x:v>1</x:v>
      </x:c>
      <x:c r="D58" s="11" t="str">
        <x:v>LINK</x:v>
      </x:c>
      <x:c r="E58" s="11" t="str">
        <x:v>QPC02SXGN-RC</x:v>
      </x:c>
      <x:c r="F58" s="11" t="str">
        <x:v>Sullins Connector Solutions</x:v>
      </x:c>
      <x:c r="G58" s="11" t="str">
        <x:v>Item só no esquemático: CONN JUMPER SHORTING .100" GOLD</x:v>
      </x:c>
      <x:c r="H58" s="11" t="str">
        <x:v>Sem footprint no PCB</x:v>
      </x:c>
      <x:c r="I58" s="1"/>
      <x:c r="J58" s="1"/>
      <x:c r="K58" s="1"/>
    </x:row>
    <x:row r="59" ht="36" customHeight="1">
      <x:c r="A59" s="8" t="str">
        <x:v>Placa base</x:v>
      </x:c>
      <x:c r="B59" s="8" t="str">
        <x:v>LINK1</x:v>
      </x:c>
      <x:c r="C59" s="21" t="n">
        <x:v>1</x:v>
      </x:c>
      <x:c r="D59" s="8" t="str">
        <x:v>LINK</x:v>
      </x:c>
      <x:c r="E59" s="8" t="str">
        <x:v>QPC02SXGN-RC</x:v>
      </x:c>
      <x:c r="F59" s="8" t="str">
        <x:v>Sullins Connector Solutions</x:v>
      </x:c>
      <x:c r="G59" s="8" t="str">
        <x:v>Item só no esquemático: CONN JUMPER SHORTING .100" GOLD</x:v>
      </x:c>
      <x:c r="H59" s="8" t="str">
        <x:v>Sem footprint no PCB</x:v>
      </x:c>
      <x:c r="I59" s="1"/>
      <x:c r="J59" s="1"/>
      <x:c r="K59" s="1"/>
    </x:row>
    <x:row r="60" ht="36" customHeight="1">
      <x:c r="A60" s="11" t="str">
        <x:v>Placa base</x:v>
      </x:c>
      <x:c r="B60" s="11" t="str">
        <x:v>LINK3</x:v>
      </x:c>
      <x:c r="C60" s="20" t="n">
        <x:v>1</x:v>
      </x:c>
      <x:c r="D60" s="11" t="str">
        <x:v>LINK</x:v>
      </x:c>
      <x:c r="E60" s="11" t="str">
        <x:v>QPC02SXGN-RC</x:v>
      </x:c>
      <x:c r="F60" s="11" t="str">
        <x:v>Sullins Connector Solutions</x:v>
      </x:c>
      <x:c r="G60" s="11" t="str">
        <x:v>Item só no esquemático: CONN JUMPER SHORTING .100" GOLD</x:v>
      </x:c>
      <x:c r="H60" s="11" t="str">
        <x:v>Sem footprint no PCB</x:v>
      </x:c>
      <x:c r="I60" s="1"/>
      <x:c r="J60" s="1"/>
      <x:c r="K60" s="1"/>
    </x:row>
    <x:row r="61" ht="36" customHeight="1">
      <x:c r="A61" s="8" t="str">
        <x:v>Placa base</x:v>
      </x:c>
      <x:c r="B61" s="8" t="str">
        <x:v>LINK5</x:v>
      </x:c>
      <x:c r="C61" s="21" t="n">
        <x:v>1</x:v>
      </x:c>
      <x:c r="D61" s="8" t="str">
        <x:v>LINK</x:v>
      </x:c>
      <x:c r="E61" s="8" t="str">
        <x:v>QPC02SXGN-RC</x:v>
      </x:c>
      <x:c r="F61" s="8" t="str">
        <x:v>Sullins Connector Solutions</x:v>
      </x:c>
      <x:c r="G61" s="8" t="str">
        <x:v>Item só no esquemático: CONN JUMPER SHORTING .100" GOLD</x:v>
      </x:c>
      <x:c r="H61" s="8" t="str">
        <x:v>Sem footprint no PCB</x:v>
      </x:c>
      <x:c r="I61" s="1"/>
      <x:c r="J61" s="1"/>
      <x:c r="K61" s="1"/>
    </x:row>
    <x:row r="62" ht="30" customHeight="1">
      <x:c r="A62" s="11" t="str">
        <x:v>Placa base</x:v>
      </x:c>
      <x:c r="B62" s="11" t="str">
        <x:v>BAT1</x:v>
      </x:c>
      <x:c r="C62" s="20" t="n">
        <x:v>1</x:v>
      </x:c>
      <x:c r="D62" s="11" t="str">
        <x:v>CR2032</x:v>
      </x:c>
      <x:c r="E62" s="11" t="str">
        <x:v>CR2032</x:v>
      </x:c>
      <x:c r="F62" s="11" t="str">
        <x:v>Panasonic - BSG</x:v>
      </x:c>
      <x:c r="G62" s="11" t="str">
        <x:v>Item só no esquemático: BATTERY LITHIUM COIN 3V 20MM</x:v>
      </x:c>
      <x:c r="H62" s="11" t="str">
        <x:v>Sem footprint no PCB</x:v>
      </x:c>
      <x:c r="I62" s="1"/>
      <x:c r="J62" s="1"/>
      <x:c r="K62" s="1"/>
    </x:row>
    <x:row r="63" ht="36" customHeight="1">
      <x:c r="A63" s="8" t="str">
        <x:v>Placa base</x:v>
      </x:c>
      <x:c r="B63" s="8" t="str">
        <x:v>LINK4</x:v>
      </x:c>
      <x:c r="C63" s="21" t="n">
        <x:v>1</x:v>
      </x:c>
      <x:c r="D63" s="8" t="str">
        <x:v>LINK</x:v>
      </x:c>
      <x:c r="E63" s="8" t="str">
        <x:v>QPC02SXGN-RC</x:v>
      </x:c>
      <x:c r="F63" s="8" t="str">
        <x:v>Sullins Connector Solutions</x:v>
      </x:c>
      <x:c r="G63" s="8" t="str">
        <x:v>Item só no esquemático: CONN JUMPER SHORTING .100" GOLD</x:v>
      </x:c>
      <x:c r="H63" s="8" t="str">
        <x:v>Sem footprint no PCB</x:v>
      </x:c>
      <x:c r="I63" s="1"/>
      <x:c r="J63" s="1"/>
      <x:c r="K63" s="1"/>
    </x:row>
    <x:row r="64" ht="30" customHeight="1">
      <x:c r="A64" s="11" t="str">
        <x:v>Placa base</x:v>
      </x:c>
      <x:c r="B64" s="11" t="str">
        <x:v>PCB1</x:v>
      </x:c>
      <x:c r="C64" s="20" t="n">
        <x:v>1</x:v>
      </x:c>
      <x:c r="D64" s="11" t="str">
        <x:v>iMX6 Rex Baseboard V1I1 PCB</x:v>
      </x:c>
      <x:c r="E64" s="11" t="str"/>
      <x:c r="F64" s="11" t="str"/>
      <x:c r="G64" s="11" t="str">
        <x:v>Item só no esquemático: iMX6 Rex Baseboard V1I1 PCB</x:v>
      </x:c>
      <x:c r="H64" s="11" t="str">
        <x:v>Sem footprint no PCB</x:v>
      </x:c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</x:row>
  </x:sheetData>
  <x:pageMargins left="0.7" right="0.7" top="0.75" bottom="0.75" header="0.3" footer="0.3"/>
  <x:tableParts count="1">
    <x:tablePart xmlns:r="http://schemas.openxmlformats.org/officeDocument/2006/relationships" r:id="R0e361a9ebb004984"/>
  </x:tableParts>
</x:worksheet>
</file>

<file path=xl/worksheets/sheet5.xml><?xml version="1.0" encoding="utf-8"?>
<x:worksheet xmlns:x="http://schemas.openxmlformats.org/spreadsheetml/2006/main">
  <x:sheetPr>
    <x:tabColor rgb="FF047F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12" hidden="0" customWidth="1"/>
    <x:col min="3" max="3" width="21" hidden="0" customWidth="1"/>
    <x:col min="4" max="4" width="22" hidden="0" customWidth="1"/>
    <x:col min="5" max="5" width="38" hidden="0" customWidth="1"/>
  </x:cols>
  <x:sheetData>
    <x:row r="1" ht="34" customHeight="1">
      <x:c r="A1" s="2" t="str">
        <x:v>JLCPCB — Orçamento de fabricação e montagem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1" t="str">
        <x:v>Valores em dólares americanos (USD)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0" t="str">
        <x:v>Item</x:v>
      </x:c>
      <x:c r="B5" s="10" t="str">
        <x:v>Quantidade</x:v>
      </x:c>
      <x:c r="C5" s="10" t="str">
        <x:v>Valor do item (USD)</x:v>
      </x:c>
      <x:c r="D5" s="10" t="str">
        <x:v>Prazo de produção</x:v>
      </x:c>
      <x:c r="E5" s="10" t="str">
        <x:v>Configuração</x:v>
      </x:c>
      <x:c r="F5" s="1"/>
      <x:c r="G5" s="1"/>
      <x:c r="H5" s="1"/>
      <x:c r="I5" s="1"/>
      <x:c r="J5" s="1"/>
      <x:c r="K5" s="1"/>
    </x:row>
    <x:row r="6" ht="30" customHeight="1">
      <x:c r="A6" s="11" t="str">
        <x:v>Módulo iMX6 Rex — PCB</x:v>
      </x:c>
      <x:c r="B6" s="20" t="n">
        <x:v>5</x:v>
      </x:c>
      <x:c r="C6" s="22" t="n">
        <x:v>510.03</x:v>
      </x:c>
      <x:c r="D6" s="20" t="str">
        <x:v>14–15 dias</x:v>
      </x:c>
      <x:c r="E6" s="11" t="str">
        <x:v>ENIG; verde; 1,6 mm</x:v>
      </x:c>
      <x:c r="F6" s="1"/>
      <x:c r="G6" s="1"/>
      <x:c r="H6" s="1"/>
      <x:c r="I6" s="1"/>
      <x:c r="J6" s="1"/>
      <x:c r="K6" s="1"/>
    </x:row>
    <x:row r="7" ht="30" customHeight="1">
      <x:c r="A7" s="8" t="str">
        <x:v>Placa base — PCB</x:v>
      </x:c>
      <x:c r="B7" s="21" t="n">
        <x:v>5</x:v>
      </x:c>
      <x:c r="C7" s="23" t="n">
        <x:v>43.5</x:v>
      </x:c>
      <x:c r="D7" s="21" t="str">
        <x:v>8–9 dias</x:v>
      </x:c>
      <x:c r="E7" s="8" t="str">
        <x:v>OSP; verde; 1,6 mm</x:v>
      </x:c>
      <x:c r="F7" s="1"/>
      <x:c r="G7" s="1"/>
      <x:c r="H7" s="1"/>
      <x:c r="I7" s="1"/>
      <x:c r="J7" s="1"/>
      <x:c r="K7" s="1"/>
    </x:row>
    <x:row r="8" ht="30" customHeight="1">
      <x:c r="A8" s="11" t="str">
        <x:v>Placa base — PCBA</x:v>
      </x:c>
      <x:c r="B8" s="20" t="n">
        <x:v>2</x:v>
      </x:c>
      <x:c r="C8" s="22" t="n">
        <x:v>330.53</x:v>
      </x:c>
      <x:c r="D8" s="20" t="str">
        <x:v>5–6 dias</x:v>
      </x:c>
      <x:c r="E8" s="11" t="str">
        <x:v>Montagem dos dois lados</x:v>
      </x:c>
      <x:c r="F8" s="1"/>
      <x:c r="G8" s="1"/>
      <x:c r="H8" s="1"/>
      <x:c r="I8" s="1"/>
      <x:c r="J8" s="1"/>
      <x:c r="K8" s="1"/>
    </x:row>
    <x:row r="9">
      <x:c r="A9" s="1"/>
      <x:c r="B9" s="1"/>
      <x:c r="C9" s="24"/>
      <x:c r="D9" s="26"/>
      <x:c r="E9" s="1"/>
      <x:c r="F9" s="1"/>
      <x:c r="G9" s="1"/>
      <x:c r="H9" s="1"/>
      <x:c r="I9" s="1"/>
      <x:c r="J9" s="1"/>
      <x:c r="K9" s="1"/>
    </x:row>
    <x:row r="10" ht="30" customHeight="1">
      <x:c r="A10" s="13" t="str">
        <x:v>Subtotal dos itens, sem frete e tributos</x:v>
      </x:c>
      <x:c r="B10" s="13"/>
      <x:c r="C10" s="25" t="n">
        <x:f>SUM(C6:C8)</x:f>
        <x:v>884.06</x:v>
      </x:c>
      <x:c r="D10" s="27"/>
      <x:c r="E10" s="13"/>
      <x:c r="F10" s="1"/>
      <x:c r="G10" s="1"/>
      <x:c r="H10" s="1"/>
      <x:c r="I10" s="1"/>
      <x:c r="J10" s="1"/>
      <x:c r="K10" s="1"/>
    </x:row>
    <x:row r="11">
      <x:c r="A11" s="1"/>
      <x:c r="B11" s="1"/>
      <x:c r="C11" s="24"/>
      <x:c r="D11" s="26"/>
      <x:c r="E11" s="1"/>
      <x:c r="F11" s="1"/>
      <x:c r="G11" s="1"/>
      <x:c r="H11" s="1"/>
      <x:c r="I11" s="1"/>
      <x:c r="J11" s="1"/>
      <x:c r="K11" s="1"/>
    </x:row>
    <x:row r="12">
      <x:c r="A12" s="1" t="str">
        <x:v>Frete do módulo</x:v>
      </x:c>
      <x:c r="B12" s="1"/>
      <x:c r="C12" s="24" t="n">
        <x:v>42.51</x:v>
      </x:c>
      <x:c r="D12" s="26" t="str">
        <x:v>4–8 dias úteis</x:v>
      </x:c>
      <x:c r="E12" s="1" t="str">
        <x:v>DHL Express • 0,15 kg</x:v>
      </x:c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5" customHeight="1">
      <x:c r="A15" s="7" t="str">
        <x:v>Subtotal de fabricação e montagem: frete e tributos separados.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5" customHeight="1">
      <x:c r="A16" s="7" t="str">
        <x:v>Placa base: fabricação de 5 PCBs e montagem de 2 unidades, nos dois lados.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5" customHeight="1">
      <x:c r="A17" s="7" t="str">
        <x:v>Módulo HDI: serviço de montagem PCBA indisponível nesta cotação.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5" customHeight="1">
      <x:c r="A18" s="7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5" customHeight="1">
      <x:c r="A19" s="7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5" customHeight="1">
      <x:c r="A20" s="7" t="str">
        <x:v>Referências: Cotacao/01_Cotacao_modulo_HDI.png e 02_Carrinho_PCB_e_montagem.png.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</x:row>
  </x:sheetData>
  <x:pageMargins left="0.7" right="0.7" top="0.75" bottom="0.75" header="0.3" footer="0.3"/>
  <x:tableParts count="1">
    <x:tablePart xmlns:r="http://schemas.openxmlformats.org/officeDocument/2006/relationships" r:id="R827bb35c5e84482a"/>
  </x:tableParts>
</x:worksheet>
</file>